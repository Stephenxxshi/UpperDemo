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MyCode\demo\UpperDemo\src\Plant01.Upper.Infrastructure\Configs\"/>
    </mc:Choice>
  </mc:AlternateContent>
  <xr:revisionPtr revIDLastSave="0" documentId="13_ncr:1_{A454969C-BCA2-49BB-AE2D-A7271EC36B3D}" xr6:coauthVersionLast="47" xr6:coauthVersionMax="47" xr10:uidLastSave="{00000000-0000-0000-0000-000000000000}"/>
  <bookViews>
    <workbookView xWindow="50620" yWindow="2620" windowWidth="24000" windowHeight="12670" activeTab="1" xr2:uid="{00000000-000D-0000-FFFF-FFFF00000000}"/>
  </bookViews>
  <sheets>
    <sheet name="CommunicationTags" sheetId="1" r:id="rId1"/>
    <sheet name="DomainTags" sheetId="7" r:id="rId2"/>
    <sheet name="TagRaw" sheetId="2" r:id="rId3"/>
    <sheet name="Device" sheetId="6" r:id="rId4"/>
    <sheet name="DeviceRaw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5" l="1"/>
  <c r="A4" i="5"/>
  <c r="A2" i="5"/>
  <c r="P14" i="1"/>
  <c r="I14" i="1"/>
  <c r="A14" i="1"/>
  <c r="P13" i="1"/>
  <c r="I13" i="1"/>
  <c r="A13" i="1"/>
  <c r="P12" i="1"/>
  <c r="I12" i="1"/>
  <c r="A12" i="1"/>
  <c r="P11" i="1"/>
  <c r="I11" i="1"/>
  <c r="A11" i="1"/>
  <c r="I10" i="1"/>
  <c r="A10" i="1"/>
  <c r="P9" i="1"/>
  <c r="I9" i="1"/>
  <c r="A9" i="1"/>
  <c r="P8" i="1"/>
  <c r="I8" i="1"/>
  <c r="A8" i="1"/>
  <c r="I7" i="1"/>
  <c r="A7" i="1"/>
  <c r="P6" i="1"/>
  <c r="I6" i="1"/>
  <c r="A6" i="1"/>
  <c r="P5" i="1"/>
  <c r="I5" i="1"/>
  <c r="A5" i="1"/>
  <c r="I4" i="1"/>
  <c r="A4" i="1"/>
  <c r="P3" i="1"/>
  <c r="I3" i="1"/>
  <c r="A3" i="1"/>
  <c r="P2" i="1"/>
  <c r="I2" i="1"/>
  <c r="A2" i="1"/>
  <c r="A5" i="2"/>
  <c r="A6" i="2"/>
  <c r="A7" i="2"/>
  <c r="A8" i="2"/>
  <c r="A9" i="2"/>
  <c r="A10" i="2"/>
  <c r="A11" i="2"/>
  <c r="A12" i="2"/>
  <c r="A13" i="2"/>
  <c r="A14" i="2"/>
  <c r="A2" i="2"/>
  <c r="A3" i="2"/>
  <c r="A4" i="2"/>
  <c r="P14" i="2"/>
  <c r="I14" i="2"/>
  <c r="P13" i="2"/>
  <c r="I13" i="2"/>
  <c r="P12" i="2"/>
  <c r="I12" i="2"/>
  <c r="P11" i="2"/>
  <c r="I11" i="2"/>
  <c r="I10" i="2"/>
  <c r="P9" i="2"/>
  <c r="I9" i="2"/>
  <c r="P8" i="2"/>
  <c r="I8" i="2"/>
  <c r="I7" i="2"/>
  <c r="P6" i="2"/>
  <c r="I6" i="2"/>
  <c r="P5" i="2"/>
  <c r="I5" i="2"/>
  <c r="I4" i="2"/>
  <c r="P3" i="2"/>
  <c r="I3" i="2"/>
  <c r="P2" i="2"/>
  <c r="I2" i="2"/>
</calcChain>
</file>

<file path=xl/sharedStrings.xml><?xml version="1.0" encoding="utf-8"?>
<sst xmlns="http://schemas.openxmlformats.org/spreadsheetml/2006/main" count="423" uniqueCount="107">
  <si>
    <t>TagName</t>
  </si>
  <si>
    <t>Station</t>
  </si>
  <si>
    <t>EquipmentCode</t>
  </si>
  <si>
    <t>Unit</t>
  </si>
  <si>
    <t>Signal</t>
  </si>
  <si>
    <t>CnName</t>
  </si>
  <si>
    <t>Description</t>
  </si>
  <si>
    <t>DataType</t>
  </si>
  <si>
    <t>Address</t>
  </si>
  <si>
    <t>S7AreaType</t>
  </si>
  <si>
    <t>S7DbNumber</t>
  </si>
  <si>
    <t>S7Offset</t>
  </si>
  <si>
    <t>S7BitOffset</t>
  </si>
  <si>
    <t>S7BatchReadingId</t>
  </si>
  <si>
    <t>RW</t>
  </si>
  <si>
    <t>Length</t>
  </si>
  <si>
    <t>ChannelCode</t>
  </si>
  <si>
    <t>DeviceCode</t>
  </si>
  <si>
    <t>DB</t>
  </si>
  <si>
    <t>READONLY</t>
  </si>
  <si>
    <t>SiemensS7Tcp</t>
  </si>
  <si>
    <t>PLC01</t>
  </si>
  <si>
    <t>Request</t>
  </si>
  <si>
    <t>Code</t>
  </si>
  <si>
    <t>Bagging</t>
  </si>
  <si>
    <t>WRITEONLY</t>
  </si>
  <si>
    <t>Purpose</t>
  </si>
  <si>
    <t>IsCritical</t>
  </si>
  <si>
    <t>Direction</t>
  </si>
  <si>
    <t>TriggerCondition</t>
  </si>
  <si>
    <t>Remarks</t>
  </si>
  <si>
    <t>Input</t>
  </si>
  <si>
    <t>ProcessTrigger</t>
  </si>
  <si>
    <t>MDJ1_SDJ01</t>
  </si>
  <si>
    <t>MDJ1_MDJ01</t>
  </si>
  <si>
    <t>OutPut</t>
  </si>
  <si>
    <t>Name</t>
  </si>
  <si>
    <t>Type</t>
  </si>
  <si>
    <t>Capabilities</t>
  </si>
  <si>
    <t>Sequence</t>
  </si>
  <si>
    <t>Enabled</t>
  </si>
  <si>
    <t>1#线-1号上袋机</t>
  </si>
  <si>
    <t>BagPicker</t>
  </si>
  <si>
    <t>Heartbeat, AlarmReport, OutputCount</t>
  </si>
  <si>
    <t>1#线-1号码垛机</t>
  </si>
  <si>
    <t>Palletizer</t>
  </si>
  <si>
    <t>Heartbeat, AlarmReport</t>
  </si>
  <si>
    <t>包装机状态</t>
  </si>
  <si>
    <t>申请读码</t>
  </si>
  <si>
    <t>袋码数据</t>
  </si>
  <si>
    <t>码垛机状态</t>
  </si>
  <si>
    <t>码垛袋码</t>
  </si>
  <si>
    <t>码垛包数</t>
  </si>
  <si>
    <t>STRING</t>
    <phoneticPr fontId="2" type="noConversion"/>
  </si>
  <si>
    <t>组托申请读码</t>
    <phoneticPr fontId="2" type="noConversion"/>
  </si>
  <si>
    <t>组托袋码数据</t>
    <phoneticPr fontId="2" type="noConversion"/>
  </si>
  <si>
    <t>包装机读码完成</t>
    <phoneticPr fontId="2" type="noConversion"/>
  </si>
  <si>
    <t>Status</t>
    <phoneticPr fontId="2" type="noConversion"/>
  </si>
  <si>
    <t>Sn</t>
    <phoneticPr fontId="2" type="noConversion"/>
  </si>
  <si>
    <t>Palletizing</t>
    <phoneticPr fontId="2" type="noConversion"/>
  </si>
  <si>
    <t>Grouping</t>
    <phoneticPr fontId="2" type="noConversion"/>
  </si>
  <si>
    <t>码垛机读码完成</t>
    <phoneticPr fontId="2" type="noConversion"/>
  </si>
  <si>
    <t>组托读码完成</t>
    <phoneticPr fontId="2" type="noConversion"/>
  </si>
  <si>
    <t>Done</t>
    <phoneticPr fontId="2" type="noConversion"/>
  </si>
  <si>
    <t>垛位号</t>
    <phoneticPr fontId="2" type="noConversion"/>
  </si>
  <si>
    <t>Position</t>
    <phoneticPr fontId="2" type="noConversion"/>
  </si>
  <si>
    <t>=1</t>
    <phoneticPr fontId="2" type="noConversion"/>
  </si>
  <si>
    <t>Packing</t>
    <phoneticPr fontId="2" type="noConversion"/>
  </si>
  <si>
    <t>Palletizer</t>
    <phoneticPr fontId="2" type="noConversion"/>
  </si>
  <si>
    <t>StackRemoval</t>
    <phoneticPr fontId="2" type="noConversion"/>
  </si>
  <si>
    <t>Packing.Bagging.Status</t>
  </si>
  <si>
    <t>Packing.Bagging.Request</t>
  </si>
  <si>
    <t>=1</t>
  </si>
  <si>
    <t>Packing.Bagging.Code</t>
  </si>
  <si>
    <t>Palletizer.Palletizing.Status</t>
  </si>
  <si>
    <t>Palletizer.Palletizing.Request</t>
  </si>
  <si>
    <t>Palletizer.Palletizing.Code</t>
  </si>
  <si>
    <t>Palletizer.Palletizing.Sn</t>
  </si>
  <si>
    <t>StackRemoval.Grouping.Request</t>
  </si>
  <si>
    <t>StackRemoval</t>
  </si>
  <si>
    <t>StackRemoval.Grouping.Code</t>
  </si>
  <si>
    <t>Packing.Bagging.Done</t>
  </si>
  <si>
    <t>Palletizer.Palletizing.Done</t>
  </si>
  <si>
    <t>Palletizer.Palletizing.Position</t>
  </si>
  <si>
    <t>StackRemoval.Grouping.Done</t>
  </si>
  <si>
    <t>MDJ1</t>
  </si>
  <si>
    <t>MDJ1</t>
    <phoneticPr fontId="2" type="noConversion"/>
  </si>
  <si>
    <t>Device</t>
  </si>
  <si>
    <t>Device</t>
    <phoneticPr fontId="2" type="noConversion"/>
  </si>
  <si>
    <t>SDJ01</t>
  </si>
  <si>
    <t>SDJ01</t>
    <phoneticPr fontId="2" type="noConversion"/>
  </si>
  <si>
    <t>MDJ01</t>
  </si>
  <si>
    <t>MDJ01</t>
    <phoneticPr fontId="2" type="noConversion"/>
  </si>
  <si>
    <t>CDJ01</t>
  </si>
  <si>
    <t>CDJ01</t>
    <phoneticPr fontId="2" type="noConversion"/>
  </si>
  <si>
    <t>Line</t>
  </si>
  <si>
    <t>Line</t>
    <phoneticPr fontId="2" type="noConversion"/>
  </si>
  <si>
    <t>1#线-1号码垛机</t>
    <phoneticPr fontId="2" type="noConversion"/>
  </si>
  <si>
    <t>1#线-1号出垛机</t>
  </si>
  <si>
    <t>1#线-1号出垛机</t>
    <phoneticPr fontId="2" type="noConversion"/>
  </si>
  <si>
    <t>MDJ1_CDJ01</t>
  </si>
  <si>
    <t>Short</t>
    <phoneticPr fontId="2" type="noConversion"/>
  </si>
  <si>
    <t>ConfigJson</t>
  </si>
  <si>
    <t>QrCode</t>
    <phoneticPr fontId="2" type="noConversion"/>
  </si>
  <si>
    <t>ProcessTrigger</t>
    <phoneticPr fontId="2" type="noConversion"/>
  </si>
  <si>
    <t>ProcessResult</t>
  </si>
  <si>
    <t>Code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</si>
</sst>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quotePrefix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4"/>
  <sheetViews>
    <sheetView workbookViewId="0">
      <selection activeCell="H2" sqref="H2:H14"/>
    </sheetView>
  </sheetViews>
  <sheetFormatPr defaultColWidth="9" defaultRowHeight="14"/>
  <cols>
    <col min="1" max="1" width="28" style="2" bestFit="1" customWidth="1"/>
    <col min="2" max="2" width="12.25" bestFit="1" customWidth="1"/>
    <col min="3" max="3" width="14.33203125" bestFit="1" customWidth="1"/>
    <col min="4" max="4" width="9.1640625" bestFit="1" customWidth="1"/>
    <col min="5" max="5" width="7.5" bestFit="1" customWidth="1"/>
    <col min="6" max="6" width="14.33203125" bestFit="1" customWidth="1"/>
    <col min="7" max="7" width="10.08203125" bestFit="1" customWidth="1"/>
    <col min="8" max="8" width="8.58203125" bestFit="1" customWidth="1"/>
    <col min="9" max="9" width="9.83203125" bestFit="1" customWidth="1"/>
    <col min="10" max="10" width="10.5" bestFit="1" customWidth="1"/>
    <col min="11" max="11" width="12.08203125" bestFit="1" customWidth="1"/>
    <col min="12" max="12" width="7.75" bestFit="1" customWidth="1"/>
    <col min="13" max="13" width="9.75" bestFit="1" customWidth="1"/>
    <col min="14" max="14" width="15.83203125" bestFit="1" customWidth="1"/>
    <col min="15" max="15" width="10.83203125" bestFit="1" customWidth="1"/>
    <col min="16" max="16" width="6.58203125" bestFit="1" customWidth="1"/>
    <col min="17" max="17" width="12.58203125" bestFit="1" customWidth="1"/>
    <col min="18" max="18" width="10.6640625" bestFit="1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" t="str">
        <f t="shared" ref="A2:A14" si="0">_xlfn.CONCAT(IF(ISBLANK(B2),"",_xlfn.CONCAT(B2,".")),IF(ISBLANK(C2),"",_xlfn.CONCAT(C2,".")),IF(ISBLANK(D2),"",_xlfn.CONCAT(D2,".")),E2)</f>
        <v>Packing.Bagging.Status</v>
      </c>
      <c r="B2" s="4" t="s">
        <v>67</v>
      </c>
      <c r="C2" s="1"/>
      <c r="D2" s="1" t="s">
        <v>24</v>
      </c>
      <c r="E2" s="4" t="s">
        <v>57</v>
      </c>
      <c r="F2" s="1" t="s">
        <v>47</v>
      </c>
      <c r="G2" s="1"/>
      <c r="H2" s="4" t="s">
        <v>101</v>
      </c>
      <c r="I2" s="1" t="str">
        <f t="shared" ref="I2:I14" si="1">_xlfn.CONCAT(J2,K2,".",L2,IF(ISBLANK(M2),"",_xlfn.CONCAT(".",M2)))</f>
        <v>DB1002.2</v>
      </c>
      <c r="J2" s="1" t="s">
        <v>18</v>
      </c>
      <c r="K2" s="1">
        <v>1002</v>
      </c>
      <c r="L2" s="1">
        <v>2</v>
      </c>
      <c r="M2" s="1"/>
      <c r="N2" s="1">
        <v>1</v>
      </c>
      <c r="O2" s="1" t="s">
        <v>19</v>
      </c>
      <c r="P2" s="1" t="str">
        <f t="shared" ref="P2:P14" si="2">IF(H2="STRING",64,"")</f>
        <v/>
      </c>
      <c r="Q2" s="1" t="s">
        <v>20</v>
      </c>
      <c r="R2" s="1" t="s">
        <v>21</v>
      </c>
    </row>
    <row r="3" spans="1:18">
      <c r="A3" s="1" t="str">
        <f t="shared" si="0"/>
        <v>Packing.Bagging.Request</v>
      </c>
      <c r="B3" s="4" t="s">
        <v>67</v>
      </c>
      <c r="C3" s="1"/>
      <c r="D3" s="1" t="s">
        <v>24</v>
      </c>
      <c r="E3" s="1" t="s">
        <v>22</v>
      </c>
      <c r="F3" s="1" t="s">
        <v>48</v>
      </c>
      <c r="G3" s="1"/>
      <c r="H3" s="4" t="s">
        <v>101</v>
      </c>
      <c r="I3" s="1" t="str">
        <f t="shared" si="1"/>
        <v>DB1002.4</v>
      </c>
      <c r="J3" s="1" t="s">
        <v>18</v>
      </c>
      <c r="K3" s="1">
        <v>1002</v>
      </c>
      <c r="L3" s="1">
        <v>4</v>
      </c>
      <c r="M3" s="1"/>
      <c r="N3" s="1">
        <v>1</v>
      </c>
      <c r="O3" s="1" t="s">
        <v>19</v>
      </c>
      <c r="P3" s="1" t="str">
        <f t="shared" si="2"/>
        <v/>
      </c>
      <c r="Q3" s="1" t="s">
        <v>20</v>
      </c>
      <c r="R3" s="1" t="s">
        <v>21</v>
      </c>
    </row>
    <row r="4" spans="1:18">
      <c r="A4" s="1" t="str">
        <f t="shared" si="0"/>
        <v>Packing.Bagging.Code</v>
      </c>
      <c r="B4" s="4" t="s">
        <v>67</v>
      </c>
      <c r="C4" s="1"/>
      <c r="D4" s="1" t="s">
        <v>24</v>
      </c>
      <c r="E4" s="1" t="s">
        <v>23</v>
      </c>
      <c r="F4" s="1" t="s">
        <v>49</v>
      </c>
      <c r="G4" s="1"/>
      <c r="H4" s="4" t="s">
        <v>53</v>
      </c>
      <c r="I4" s="1" t="str">
        <f t="shared" si="1"/>
        <v>DB1002.6</v>
      </c>
      <c r="J4" s="1" t="s">
        <v>18</v>
      </c>
      <c r="K4" s="1">
        <v>1002</v>
      </c>
      <c r="L4" s="1">
        <v>6</v>
      </c>
      <c r="M4" s="1"/>
      <c r="N4" s="1">
        <v>1</v>
      </c>
      <c r="O4" s="1" t="s">
        <v>19</v>
      </c>
      <c r="P4" s="1">
        <v>32</v>
      </c>
      <c r="Q4" s="1" t="s">
        <v>20</v>
      </c>
      <c r="R4" s="1" t="s">
        <v>21</v>
      </c>
    </row>
    <row r="5" spans="1:18">
      <c r="A5" s="1" t="str">
        <f t="shared" si="0"/>
        <v>Palletizer.Palletizing.Status</v>
      </c>
      <c r="B5" s="4" t="s">
        <v>68</v>
      </c>
      <c r="C5" s="1"/>
      <c r="D5" s="4" t="s">
        <v>59</v>
      </c>
      <c r="E5" s="4" t="s">
        <v>57</v>
      </c>
      <c r="F5" s="1" t="s">
        <v>50</v>
      </c>
      <c r="G5" s="1"/>
      <c r="H5" s="4" t="s">
        <v>101</v>
      </c>
      <c r="I5" s="1" t="str">
        <f t="shared" si="1"/>
        <v>DB1002.40</v>
      </c>
      <c r="J5" s="1" t="s">
        <v>18</v>
      </c>
      <c r="K5" s="1">
        <v>1002</v>
      </c>
      <c r="L5" s="1">
        <v>40</v>
      </c>
      <c r="M5" s="1"/>
      <c r="N5" s="1">
        <v>1</v>
      </c>
      <c r="O5" s="1" t="s">
        <v>19</v>
      </c>
      <c r="P5" s="1" t="str">
        <f t="shared" si="2"/>
        <v/>
      </c>
      <c r="Q5" s="1" t="s">
        <v>20</v>
      </c>
      <c r="R5" s="1" t="s">
        <v>21</v>
      </c>
    </row>
    <row r="6" spans="1:18">
      <c r="A6" s="1" t="str">
        <f t="shared" si="0"/>
        <v>Palletizer.Palletizing.Request</v>
      </c>
      <c r="B6" s="4" t="s">
        <v>68</v>
      </c>
      <c r="C6" s="1"/>
      <c r="D6" s="4" t="s">
        <v>59</v>
      </c>
      <c r="E6" s="1" t="s">
        <v>22</v>
      </c>
      <c r="F6" s="1" t="s">
        <v>48</v>
      </c>
      <c r="G6" s="1"/>
      <c r="H6" s="4" t="s">
        <v>101</v>
      </c>
      <c r="I6" s="1" t="str">
        <f t="shared" si="1"/>
        <v>DB1002.42</v>
      </c>
      <c r="J6" s="1" t="s">
        <v>18</v>
      </c>
      <c r="K6" s="1">
        <v>1002</v>
      </c>
      <c r="L6" s="1">
        <v>42</v>
      </c>
      <c r="M6" s="1"/>
      <c r="N6" s="1">
        <v>1</v>
      </c>
      <c r="O6" s="1" t="s">
        <v>19</v>
      </c>
      <c r="P6" s="1" t="str">
        <f t="shared" si="2"/>
        <v/>
      </c>
      <c r="Q6" s="1" t="s">
        <v>20</v>
      </c>
      <c r="R6" s="1" t="s">
        <v>21</v>
      </c>
    </row>
    <row r="7" spans="1:18">
      <c r="A7" s="1" t="str">
        <f t="shared" si="0"/>
        <v>Palletizer.Palletizing.Code</v>
      </c>
      <c r="B7" s="4" t="s">
        <v>68</v>
      </c>
      <c r="C7" s="1"/>
      <c r="D7" s="4" t="s">
        <v>59</v>
      </c>
      <c r="E7" s="1" t="s">
        <v>23</v>
      </c>
      <c r="F7" s="1" t="s">
        <v>51</v>
      </c>
      <c r="G7" s="1"/>
      <c r="H7" s="4" t="s">
        <v>53</v>
      </c>
      <c r="I7" s="1" t="str">
        <f t="shared" si="1"/>
        <v>DB1002.44</v>
      </c>
      <c r="J7" s="1" t="s">
        <v>18</v>
      </c>
      <c r="K7" s="1">
        <v>1002</v>
      </c>
      <c r="L7" s="1">
        <v>44</v>
      </c>
      <c r="M7" s="1"/>
      <c r="N7" s="1">
        <v>1</v>
      </c>
      <c r="O7" s="1" t="s">
        <v>19</v>
      </c>
      <c r="P7" s="1">
        <v>32</v>
      </c>
      <c r="Q7" s="1" t="s">
        <v>20</v>
      </c>
      <c r="R7" s="1" t="s">
        <v>21</v>
      </c>
    </row>
    <row r="8" spans="1:18">
      <c r="A8" s="1" t="str">
        <f t="shared" si="0"/>
        <v>Palletizer.Palletizing.Sn</v>
      </c>
      <c r="B8" s="4" t="s">
        <v>68</v>
      </c>
      <c r="C8" s="1"/>
      <c r="D8" s="4" t="s">
        <v>59</v>
      </c>
      <c r="E8" s="4" t="s">
        <v>58</v>
      </c>
      <c r="F8" s="1" t="s">
        <v>52</v>
      </c>
      <c r="G8" s="1"/>
      <c r="H8" s="4" t="s">
        <v>101</v>
      </c>
      <c r="I8" s="1" t="str">
        <f t="shared" si="1"/>
        <v>DB1002.78</v>
      </c>
      <c r="J8" s="1" t="s">
        <v>18</v>
      </c>
      <c r="K8" s="1">
        <v>1002</v>
      </c>
      <c r="L8" s="1">
        <v>78</v>
      </c>
      <c r="M8" s="1"/>
      <c r="N8" s="1">
        <v>1</v>
      </c>
      <c r="O8" s="1" t="s">
        <v>19</v>
      </c>
      <c r="P8" s="1" t="str">
        <f t="shared" si="2"/>
        <v/>
      </c>
      <c r="Q8" s="1" t="s">
        <v>20</v>
      </c>
      <c r="R8" s="1" t="s">
        <v>21</v>
      </c>
    </row>
    <row r="9" spans="1:18">
      <c r="A9" s="1" t="str">
        <f t="shared" si="0"/>
        <v>StackRemoval.Grouping.Request</v>
      </c>
      <c r="B9" s="4" t="s">
        <v>69</v>
      </c>
      <c r="C9" s="4"/>
      <c r="D9" s="4" t="s">
        <v>60</v>
      </c>
      <c r="E9" s="1" t="s">
        <v>22</v>
      </c>
      <c r="F9" s="4" t="s">
        <v>54</v>
      </c>
      <c r="G9" s="1"/>
      <c r="H9" s="4" t="s">
        <v>101</v>
      </c>
      <c r="I9" s="1" t="str">
        <f t="shared" si="1"/>
        <v>DB1002.80</v>
      </c>
      <c r="J9" s="1" t="s">
        <v>18</v>
      </c>
      <c r="K9" s="1">
        <v>1002</v>
      </c>
      <c r="L9" s="1">
        <v>80</v>
      </c>
      <c r="M9" s="1"/>
      <c r="N9" s="1">
        <v>1</v>
      </c>
      <c r="O9" s="1" t="s">
        <v>19</v>
      </c>
      <c r="P9" s="1" t="str">
        <f t="shared" si="2"/>
        <v/>
      </c>
      <c r="Q9" s="1" t="s">
        <v>20</v>
      </c>
      <c r="R9" s="1" t="s">
        <v>21</v>
      </c>
    </row>
    <row r="10" spans="1:18">
      <c r="A10" s="1" t="str">
        <f t="shared" si="0"/>
        <v>StackRemoval.Grouping.Code</v>
      </c>
      <c r="B10" s="4" t="s">
        <v>69</v>
      </c>
      <c r="C10" s="4"/>
      <c r="D10" s="4" t="s">
        <v>60</v>
      </c>
      <c r="E10" s="1" t="s">
        <v>23</v>
      </c>
      <c r="F10" s="4" t="s">
        <v>55</v>
      </c>
      <c r="G10" s="1"/>
      <c r="H10" s="4" t="s">
        <v>53</v>
      </c>
      <c r="I10" s="1" t="str">
        <f t="shared" si="1"/>
        <v>DB1002.82</v>
      </c>
      <c r="J10" s="1" t="s">
        <v>18</v>
      </c>
      <c r="K10" s="1">
        <v>1002</v>
      </c>
      <c r="L10" s="1">
        <v>82</v>
      </c>
      <c r="M10" s="1"/>
      <c r="N10" s="1">
        <v>1</v>
      </c>
      <c r="O10" s="1" t="s">
        <v>19</v>
      </c>
      <c r="P10" s="1">
        <v>32</v>
      </c>
      <c r="Q10" s="1" t="s">
        <v>20</v>
      </c>
      <c r="R10" s="1" t="s">
        <v>21</v>
      </c>
    </row>
    <row r="11" spans="1:18">
      <c r="A11" s="1" t="str">
        <f t="shared" si="0"/>
        <v>Packing.Bagging.Done</v>
      </c>
      <c r="B11" s="4" t="s">
        <v>67</v>
      </c>
      <c r="C11" s="1"/>
      <c r="D11" s="1" t="s">
        <v>24</v>
      </c>
      <c r="E11" s="4" t="s">
        <v>63</v>
      </c>
      <c r="F11" s="4" t="s">
        <v>56</v>
      </c>
      <c r="G11" s="1"/>
      <c r="H11" s="4" t="s">
        <v>101</v>
      </c>
      <c r="I11" s="1" t="str">
        <f t="shared" si="1"/>
        <v>DB1001.2</v>
      </c>
      <c r="J11" s="1" t="s">
        <v>18</v>
      </c>
      <c r="K11" s="1">
        <v>1001</v>
      </c>
      <c r="L11" s="1">
        <v>2</v>
      </c>
      <c r="M11" s="1"/>
      <c r="N11" s="1">
        <v>2</v>
      </c>
      <c r="O11" s="1" t="s">
        <v>25</v>
      </c>
      <c r="P11" s="1" t="str">
        <f t="shared" si="2"/>
        <v/>
      </c>
      <c r="Q11" s="1" t="s">
        <v>20</v>
      </c>
      <c r="R11" s="1" t="s">
        <v>21</v>
      </c>
    </row>
    <row r="12" spans="1:18">
      <c r="A12" s="1" t="str">
        <f t="shared" si="0"/>
        <v>Palletizer.Palletizing.Done</v>
      </c>
      <c r="B12" s="4" t="s">
        <v>68</v>
      </c>
      <c r="C12" s="1"/>
      <c r="D12" s="4" t="s">
        <v>59</v>
      </c>
      <c r="E12" s="4" t="s">
        <v>63</v>
      </c>
      <c r="F12" s="4" t="s">
        <v>61</v>
      </c>
      <c r="G12" s="1"/>
      <c r="H12" s="4" t="s">
        <v>101</v>
      </c>
      <c r="I12" s="1" t="str">
        <f t="shared" si="1"/>
        <v>DB1001.4</v>
      </c>
      <c r="J12" s="1" t="s">
        <v>18</v>
      </c>
      <c r="K12" s="1">
        <v>1001</v>
      </c>
      <c r="L12" s="1">
        <v>4</v>
      </c>
      <c r="M12" s="1"/>
      <c r="N12" s="1">
        <v>2</v>
      </c>
      <c r="O12" s="1" t="s">
        <v>25</v>
      </c>
      <c r="P12" s="1" t="str">
        <f t="shared" si="2"/>
        <v/>
      </c>
      <c r="Q12" s="1" t="s">
        <v>20</v>
      </c>
      <c r="R12" s="1" t="s">
        <v>21</v>
      </c>
    </row>
    <row r="13" spans="1:18">
      <c r="A13" s="1" t="str">
        <f t="shared" si="0"/>
        <v>Palletizer.Palletizing.Position</v>
      </c>
      <c r="B13" s="4" t="s">
        <v>68</v>
      </c>
      <c r="C13" s="1"/>
      <c r="D13" s="4" t="s">
        <v>59</v>
      </c>
      <c r="E13" s="4" t="s">
        <v>65</v>
      </c>
      <c r="F13" s="4" t="s">
        <v>64</v>
      </c>
      <c r="G13" s="1"/>
      <c r="H13" s="4" t="s">
        <v>101</v>
      </c>
      <c r="I13" s="1" t="str">
        <f t="shared" si="1"/>
        <v>DB1001.6</v>
      </c>
      <c r="J13" s="1" t="s">
        <v>18</v>
      </c>
      <c r="K13" s="1">
        <v>1001</v>
      </c>
      <c r="L13" s="1">
        <v>6</v>
      </c>
      <c r="M13" s="1"/>
      <c r="N13" s="1">
        <v>2</v>
      </c>
      <c r="O13" s="1" t="s">
        <v>25</v>
      </c>
      <c r="P13" s="1" t="str">
        <f t="shared" si="2"/>
        <v/>
      </c>
      <c r="Q13" s="1" t="s">
        <v>20</v>
      </c>
      <c r="R13" s="1" t="s">
        <v>21</v>
      </c>
    </row>
    <row r="14" spans="1:18">
      <c r="A14" s="1" t="str">
        <f t="shared" si="0"/>
        <v>StackRemoval.Grouping.Done</v>
      </c>
      <c r="B14" s="4" t="s">
        <v>69</v>
      </c>
      <c r="C14" s="1"/>
      <c r="D14" s="4" t="s">
        <v>60</v>
      </c>
      <c r="E14" s="4" t="s">
        <v>63</v>
      </c>
      <c r="F14" s="4" t="s">
        <v>62</v>
      </c>
      <c r="G14" s="1"/>
      <c r="H14" s="4" t="s">
        <v>101</v>
      </c>
      <c r="I14" s="1" t="str">
        <f t="shared" si="1"/>
        <v>DB1001.8</v>
      </c>
      <c r="J14" s="1" t="s">
        <v>18</v>
      </c>
      <c r="K14" s="1">
        <v>1001</v>
      </c>
      <c r="L14" s="1">
        <v>8</v>
      </c>
      <c r="M14" s="1"/>
      <c r="N14" s="1">
        <v>2</v>
      </c>
      <c r="O14" s="1" t="s">
        <v>25</v>
      </c>
      <c r="P14" s="1" t="str">
        <f t="shared" si="2"/>
        <v/>
      </c>
      <c r="Q14" s="1" t="s">
        <v>20</v>
      </c>
      <c r="R14" s="1" t="s">
        <v>21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"/>
  <sheetViews>
    <sheetView tabSelected="1" workbookViewId="0">
      <selection sqref="A1:XFD1048576"/>
    </sheetView>
  </sheetViews>
  <sheetFormatPr defaultColWidth="9.08203125" defaultRowHeight="14"/>
  <cols>
    <col min="1" max="1" width="28" style="1" bestFit="1" customWidth="1"/>
    <col min="2" max="2" width="12.9140625" style="1" bestFit="1" customWidth="1"/>
    <col min="3" max="3" width="7.6640625" style="1" bestFit="1" customWidth="1"/>
    <col min="4" max="4" width="8.25" style="1" bestFit="1" customWidth="1"/>
    <col min="5" max="5" width="14.9140625" style="1" bestFit="1" customWidth="1"/>
    <col min="6" max="6" width="7.83203125" style="1" bestFit="1" customWidth="1"/>
    <col min="7" max="7" width="14.33203125" style="1" bestFit="1" customWidth="1"/>
    <col min="8" max="16384" width="9.08203125" style="1"/>
  </cols>
  <sheetData>
    <row r="1" spans="1:7">
      <c r="A1" s="1" t="s">
        <v>0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2</v>
      </c>
    </row>
    <row r="2" spans="1:7">
      <c r="A2" s="1" t="s">
        <v>70</v>
      </c>
      <c r="D2" s="1" t="s">
        <v>31</v>
      </c>
      <c r="G2" s="1" t="s">
        <v>33</v>
      </c>
    </row>
    <row r="3" spans="1:7">
      <c r="A3" s="1" t="s">
        <v>71</v>
      </c>
      <c r="B3" s="1" t="s">
        <v>32</v>
      </c>
      <c r="D3" s="1" t="s">
        <v>31</v>
      </c>
      <c r="E3" s="1" t="s">
        <v>72</v>
      </c>
      <c r="G3" s="1" t="s">
        <v>33</v>
      </c>
    </row>
    <row r="4" spans="1:7">
      <c r="A4" s="1" t="s">
        <v>73</v>
      </c>
      <c r="B4" s="4" t="s">
        <v>103</v>
      </c>
      <c r="D4" s="1" t="s">
        <v>31</v>
      </c>
      <c r="G4" s="1" t="s">
        <v>33</v>
      </c>
    </row>
    <row r="5" spans="1:7">
      <c r="A5" s="1" t="s">
        <v>74</v>
      </c>
      <c r="D5" s="1" t="s">
        <v>31</v>
      </c>
      <c r="G5" s="1" t="s">
        <v>34</v>
      </c>
    </row>
    <row r="6" spans="1:7">
      <c r="A6" s="1" t="s">
        <v>75</v>
      </c>
      <c r="B6" s="1" t="s">
        <v>32</v>
      </c>
      <c r="D6" s="1" t="s">
        <v>31</v>
      </c>
      <c r="E6" s="1" t="s">
        <v>72</v>
      </c>
      <c r="G6" s="1" t="s">
        <v>34</v>
      </c>
    </row>
    <row r="7" spans="1:7">
      <c r="A7" s="1" t="s">
        <v>76</v>
      </c>
      <c r="B7" s="4" t="s">
        <v>103</v>
      </c>
      <c r="D7" s="1" t="s">
        <v>31</v>
      </c>
      <c r="G7" s="1" t="s">
        <v>34</v>
      </c>
    </row>
    <row r="8" spans="1:7">
      <c r="A8" s="1" t="s">
        <v>77</v>
      </c>
      <c r="D8" s="1" t="s">
        <v>31</v>
      </c>
      <c r="G8" s="1" t="s">
        <v>34</v>
      </c>
    </row>
    <row r="9" spans="1:7">
      <c r="A9" s="1" t="s">
        <v>78</v>
      </c>
      <c r="B9" s="4" t="s">
        <v>104</v>
      </c>
      <c r="D9" s="1" t="s">
        <v>31</v>
      </c>
      <c r="E9" s="1" t="s">
        <v>72</v>
      </c>
      <c r="G9" s="1" t="s">
        <v>100</v>
      </c>
    </row>
    <row r="10" spans="1:7">
      <c r="A10" s="1" t="s">
        <v>80</v>
      </c>
      <c r="B10" s="4" t="s">
        <v>103</v>
      </c>
      <c r="D10" s="1" t="s">
        <v>31</v>
      </c>
      <c r="G10" s="1" t="s">
        <v>100</v>
      </c>
    </row>
    <row r="11" spans="1:7">
      <c r="A11" s="1" t="s">
        <v>81</v>
      </c>
      <c r="B11" s="1" t="s">
        <v>105</v>
      </c>
      <c r="D11" s="1" t="s">
        <v>35</v>
      </c>
      <c r="G11" s="1" t="s">
        <v>33</v>
      </c>
    </row>
    <row r="12" spans="1:7">
      <c r="A12" s="1" t="s">
        <v>82</v>
      </c>
      <c r="B12" s="1" t="s">
        <v>105</v>
      </c>
      <c r="D12" s="1" t="s">
        <v>35</v>
      </c>
      <c r="G12" s="1" t="s">
        <v>34</v>
      </c>
    </row>
    <row r="13" spans="1:7">
      <c r="A13" s="1" t="s">
        <v>83</v>
      </c>
      <c r="D13" s="1" t="s">
        <v>35</v>
      </c>
      <c r="G13" s="1" t="s">
        <v>34</v>
      </c>
    </row>
    <row r="14" spans="1:7">
      <c r="A14" s="1" t="s">
        <v>84</v>
      </c>
      <c r="B14" s="1" t="s">
        <v>105</v>
      </c>
      <c r="D14" s="1" t="s">
        <v>35</v>
      </c>
      <c r="G14" s="1" t="s">
        <v>100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4"/>
  <sheetViews>
    <sheetView workbookViewId="0">
      <pane xSplit="1" topLeftCell="K1" activePane="topRight" state="frozen"/>
      <selection pane="topRight" activeCell="T13" sqref="T13"/>
    </sheetView>
  </sheetViews>
  <sheetFormatPr defaultColWidth="9" defaultRowHeight="14"/>
  <cols>
    <col min="1" max="1" width="32.6640625" style="1" bestFit="1" customWidth="1"/>
    <col min="2" max="2" width="12.25" style="1" bestFit="1" customWidth="1"/>
    <col min="3" max="3" width="14.33203125" style="1" bestFit="1" customWidth="1"/>
    <col min="4" max="4" width="9.1640625" style="1" bestFit="1" customWidth="1"/>
    <col min="5" max="5" width="12" style="1" bestFit="1" customWidth="1"/>
    <col min="6" max="6" width="14.33203125" style="1" bestFit="1" customWidth="1"/>
    <col min="7" max="7" width="10.08203125" style="1" bestFit="1" customWidth="1"/>
    <col min="8" max="8" width="8.58203125" style="1" bestFit="1" customWidth="1"/>
    <col min="9" max="9" width="9.83203125" style="1" bestFit="1" customWidth="1"/>
    <col min="10" max="10" width="10.5" style="1" bestFit="1" customWidth="1"/>
    <col min="11" max="11" width="12.08203125" style="1" bestFit="1" customWidth="1"/>
    <col min="12" max="12" width="7.75" style="1" bestFit="1" customWidth="1"/>
    <col min="13" max="13" width="9.75" style="1" bestFit="1" customWidth="1"/>
    <col min="14" max="14" width="15.83203125" style="1" bestFit="1" customWidth="1"/>
    <col min="15" max="15" width="10.83203125" style="1" bestFit="1" customWidth="1"/>
    <col min="16" max="16" width="6.58203125" style="1" bestFit="1" customWidth="1"/>
    <col min="17" max="17" width="12.58203125" style="1" bestFit="1" customWidth="1"/>
    <col min="18" max="18" width="10.6640625" style="1" bestFit="1" customWidth="1"/>
    <col min="19" max="19" width="9" style="1"/>
    <col min="20" max="20" width="12.9140625" style="1" bestFit="1" customWidth="1"/>
    <col min="21" max="21" width="7.6640625" style="1" bestFit="1" customWidth="1"/>
    <col min="22" max="22" width="8.25" style="1" bestFit="1" customWidth="1"/>
    <col min="23" max="23" width="14.9140625" style="1" bestFit="1" customWidth="1"/>
    <col min="24" max="24" width="7.83203125" style="1" bestFit="1" customWidth="1"/>
    <col min="25" max="25" width="14.33203125" style="1" bestFit="1" customWidth="1"/>
    <col min="26" max="16384" width="9" style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2</v>
      </c>
    </row>
    <row r="2" spans="1:25">
      <c r="A2" s="1" t="str">
        <f t="shared" ref="A2:A14" si="0">_xlfn.CONCAT(IF(ISBLANK(B2),"",_xlfn.CONCAT(B2,".")),IF(ISBLANK(C2),"",_xlfn.CONCAT(C2,".")),IF(ISBLANK(D2),"",_xlfn.CONCAT(D2,".")),E2)</f>
        <v>Packing.Bagging.Status</v>
      </c>
      <c r="B2" s="4" t="s">
        <v>67</v>
      </c>
      <c r="D2" s="1" t="s">
        <v>24</v>
      </c>
      <c r="E2" s="4" t="s">
        <v>57</v>
      </c>
      <c r="F2" s="1" t="s">
        <v>47</v>
      </c>
      <c r="H2" s="4" t="s">
        <v>101</v>
      </c>
      <c r="I2" s="1" t="str">
        <f t="shared" ref="I2:I14" si="1">_xlfn.CONCAT(J2,K2,".",L2,IF(ISBLANK(M2),"",_xlfn.CONCAT(".",M2)))</f>
        <v>DB1002.2</v>
      </c>
      <c r="J2" s="1" t="s">
        <v>18</v>
      </c>
      <c r="K2" s="1">
        <v>1002</v>
      </c>
      <c r="L2" s="1">
        <v>2</v>
      </c>
      <c r="N2" s="1">
        <v>1</v>
      </c>
      <c r="O2" s="1" t="s">
        <v>19</v>
      </c>
      <c r="P2" s="1" t="str">
        <f t="shared" ref="P2:P14" si="2">IF(H2="STRING",64,"")</f>
        <v/>
      </c>
      <c r="Q2" s="1" t="s">
        <v>20</v>
      </c>
      <c r="R2" s="1" t="s">
        <v>21</v>
      </c>
      <c r="V2" s="1" t="s">
        <v>31</v>
      </c>
      <c r="W2" s="3"/>
      <c r="Y2" s="1" t="s">
        <v>33</v>
      </c>
    </row>
    <row r="3" spans="1:25">
      <c r="A3" s="1" t="str">
        <f t="shared" si="0"/>
        <v>Packing.Bagging.Request</v>
      </c>
      <c r="B3" s="4" t="s">
        <v>67</v>
      </c>
      <c r="D3" s="1" t="s">
        <v>24</v>
      </c>
      <c r="E3" s="1" t="s">
        <v>22</v>
      </c>
      <c r="F3" s="1" t="s">
        <v>48</v>
      </c>
      <c r="H3" s="4" t="s">
        <v>101</v>
      </c>
      <c r="I3" s="1" t="str">
        <f t="shared" si="1"/>
        <v>DB1002.4</v>
      </c>
      <c r="J3" s="1" t="s">
        <v>18</v>
      </c>
      <c r="K3" s="1">
        <v>1002</v>
      </c>
      <c r="L3" s="1">
        <v>4</v>
      </c>
      <c r="N3" s="1">
        <v>1</v>
      </c>
      <c r="O3" s="1" t="s">
        <v>19</v>
      </c>
      <c r="P3" s="1" t="str">
        <f t="shared" si="2"/>
        <v/>
      </c>
      <c r="Q3" s="1" t="s">
        <v>20</v>
      </c>
      <c r="R3" s="1" t="s">
        <v>21</v>
      </c>
      <c r="T3" s="1" t="s">
        <v>32</v>
      </c>
      <c r="V3" s="1" t="s">
        <v>31</v>
      </c>
      <c r="W3" s="5" t="s">
        <v>66</v>
      </c>
      <c r="Y3" s="1" t="s">
        <v>33</v>
      </c>
    </row>
    <row r="4" spans="1:25">
      <c r="A4" s="1" t="str">
        <f t="shared" si="0"/>
        <v>Packing.Bagging.Code</v>
      </c>
      <c r="B4" s="4" t="s">
        <v>67</v>
      </c>
      <c r="D4" s="1" t="s">
        <v>24</v>
      </c>
      <c r="E4" s="1" t="s">
        <v>23</v>
      </c>
      <c r="F4" s="1" t="s">
        <v>49</v>
      </c>
      <c r="H4" s="4" t="s">
        <v>53</v>
      </c>
      <c r="I4" s="1" t="str">
        <f t="shared" si="1"/>
        <v>DB1002.6</v>
      </c>
      <c r="J4" s="1" t="s">
        <v>18</v>
      </c>
      <c r="K4" s="1">
        <v>1002</v>
      </c>
      <c r="L4" s="1">
        <v>6</v>
      </c>
      <c r="N4" s="1">
        <v>1</v>
      </c>
      <c r="O4" s="1" t="s">
        <v>19</v>
      </c>
      <c r="P4" s="1">
        <v>32</v>
      </c>
      <c r="Q4" s="1" t="s">
        <v>20</v>
      </c>
      <c r="R4" s="1" t="s">
        <v>21</v>
      </c>
      <c r="T4" s="4" t="s">
        <v>103</v>
      </c>
      <c r="V4" s="1" t="s">
        <v>31</v>
      </c>
      <c r="W4" s="3"/>
      <c r="Y4" s="1" t="s">
        <v>33</v>
      </c>
    </row>
    <row r="5" spans="1:25">
      <c r="A5" s="1" t="str">
        <f t="shared" si="0"/>
        <v>Palletizer.Palletizing.Status</v>
      </c>
      <c r="B5" s="4" t="s">
        <v>68</v>
      </c>
      <c r="D5" s="4" t="s">
        <v>59</v>
      </c>
      <c r="E5" s="4" t="s">
        <v>57</v>
      </c>
      <c r="F5" s="1" t="s">
        <v>50</v>
      </c>
      <c r="H5" s="4" t="s">
        <v>101</v>
      </c>
      <c r="I5" s="1" t="str">
        <f t="shared" si="1"/>
        <v>DB1002.40</v>
      </c>
      <c r="J5" s="1" t="s">
        <v>18</v>
      </c>
      <c r="K5" s="1">
        <v>1002</v>
      </c>
      <c r="L5" s="1">
        <v>40</v>
      </c>
      <c r="N5" s="1">
        <v>1</v>
      </c>
      <c r="O5" s="1" t="s">
        <v>19</v>
      </c>
      <c r="P5" s="1" t="str">
        <f t="shared" si="2"/>
        <v/>
      </c>
      <c r="Q5" s="1" t="s">
        <v>20</v>
      </c>
      <c r="R5" s="1" t="s">
        <v>21</v>
      </c>
      <c r="V5" s="1" t="s">
        <v>31</v>
      </c>
      <c r="Y5" s="1" t="s">
        <v>34</v>
      </c>
    </row>
    <row r="6" spans="1:25">
      <c r="A6" s="1" t="str">
        <f t="shared" si="0"/>
        <v>Palletizer.Palletizing.Request</v>
      </c>
      <c r="B6" s="4" t="s">
        <v>68</v>
      </c>
      <c r="D6" s="4" t="s">
        <v>59</v>
      </c>
      <c r="E6" s="1" t="s">
        <v>22</v>
      </c>
      <c r="F6" s="1" t="s">
        <v>48</v>
      </c>
      <c r="H6" s="4" t="s">
        <v>101</v>
      </c>
      <c r="I6" s="1" t="str">
        <f t="shared" si="1"/>
        <v>DB1002.42</v>
      </c>
      <c r="J6" s="1" t="s">
        <v>18</v>
      </c>
      <c r="K6" s="1">
        <v>1002</v>
      </c>
      <c r="L6" s="1">
        <v>42</v>
      </c>
      <c r="N6" s="1">
        <v>1</v>
      </c>
      <c r="O6" s="1" t="s">
        <v>19</v>
      </c>
      <c r="P6" s="1" t="str">
        <f t="shared" si="2"/>
        <v/>
      </c>
      <c r="Q6" s="1" t="s">
        <v>20</v>
      </c>
      <c r="R6" s="1" t="s">
        <v>21</v>
      </c>
      <c r="T6" s="1" t="s">
        <v>32</v>
      </c>
      <c r="V6" s="1" t="s">
        <v>31</v>
      </c>
      <c r="W6" s="5" t="s">
        <v>66</v>
      </c>
      <c r="Y6" s="1" t="s">
        <v>34</v>
      </c>
    </row>
    <row r="7" spans="1:25">
      <c r="A7" s="1" t="str">
        <f t="shared" si="0"/>
        <v>Palletizer.Palletizing.Code</v>
      </c>
      <c r="B7" s="4" t="s">
        <v>68</v>
      </c>
      <c r="D7" s="4" t="s">
        <v>59</v>
      </c>
      <c r="E7" s="1" t="s">
        <v>23</v>
      </c>
      <c r="F7" s="1" t="s">
        <v>51</v>
      </c>
      <c r="H7" s="4" t="s">
        <v>53</v>
      </c>
      <c r="I7" s="1" t="str">
        <f t="shared" si="1"/>
        <v>DB1002.44</v>
      </c>
      <c r="J7" s="1" t="s">
        <v>18</v>
      </c>
      <c r="K7" s="1">
        <v>1002</v>
      </c>
      <c r="L7" s="1">
        <v>44</v>
      </c>
      <c r="N7" s="1">
        <v>1</v>
      </c>
      <c r="O7" s="1" t="s">
        <v>19</v>
      </c>
      <c r="P7" s="1">
        <v>32</v>
      </c>
      <c r="Q7" s="1" t="s">
        <v>20</v>
      </c>
      <c r="R7" s="1" t="s">
        <v>21</v>
      </c>
      <c r="T7" s="4" t="s">
        <v>103</v>
      </c>
      <c r="V7" s="1" t="s">
        <v>31</v>
      </c>
      <c r="Y7" s="1" t="s">
        <v>34</v>
      </c>
    </row>
    <row r="8" spans="1:25">
      <c r="A8" s="1" t="str">
        <f t="shared" si="0"/>
        <v>Palletizer.Palletizing.Sn</v>
      </c>
      <c r="B8" s="4" t="s">
        <v>68</v>
      </c>
      <c r="D8" s="4" t="s">
        <v>59</v>
      </c>
      <c r="E8" s="4" t="s">
        <v>58</v>
      </c>
      <c r="F8" s="1" t="s">
        <v>52</v>
      </c>
      <c r="H8" s="4" t="s">
        <v>101</v>
      </c>
      <c r="I8" s="1" t="str">
        <f t="shared" si="1"/>
        <v>DB1002.78</v>
      </c>
      <c r="J8" s="1" t="s">
        <v>18</v>
      </c>
      <c r="K8" s="1">
        <v>1002</v>
      </c>
      <c r="L8" s="1">
        <v>78</v>
      </c>
      <c r="N8" s="1">
        <v>1</v>
      </c>
      <c r="O8" s="1" t="s">
        <v>19</v>
      </c>
      <c r="P8" s="1" t="str">
        <f t="shared" si="2"/>
        <v/>
      </c>
      <c r="Q8" s="1" t="s">
        <v>20</v>
      </c>
      <c r="R8" s="1" t="s">
        <v>21</v>
      </c>
      <c r="V8" s="1" t="s">
        <v>31</v>
      </c>
      <c r="Y8" s="1" t="s">
        <v>34</v>
      </c>
    </row>
    <row r="9" spans="1:25">
      <c r="A9" s="1" t="str">
        <f t="shared" si="0"/>
        <v>StackRemoval.Grouping.Request</v>
      </c>
      <c r="B9" s="4" t="s">
        <v>69</v>
      </c>
      <c r="C9" s="4"/>
      <c r="D9" s="4" t="s">
        <v>60</v>
      </c>
      <c r="E9" s="1" t="s">
        <v>22</v>
      </c>
      <c r="F9" s="4" t="s">
        <v>54</v>
      </c>
      <c r="H9" s="4" t="s">
        <v>101</v>
      </c>
      <c r="I9" s="1" t="str">
        <f t="shared" si="1"/>
        <v>DB1002.80</v>
      </c>
      <c r="J9" s="1" t="s">
        <v>18</v>
      </c>
      <c r="K9" s="1">
        <v>1002</v>
      </c>
      <c r="L9" s="1">
        <v>80</v>
      </c>
      <c r="N9" s="1">
        <v>1</v>
      </c>
      <c r="O9" s="1" t="s">
        <v>19</v>
      </c>
      <c r="P9" s="1" t="str">
        <f t="shared" si="2"/>
        <v/>
      </c>
      <c r="Q9" s="1" t="s">
        <v>20</v>
      </c>
      <c r="R9" s="1" t="s">
        <v>21</v>
      </c>
      <c r="T9" s="4" t="s">
        <v>104</v>
      </c>
      <c r="V9" s="1" t="s">
        <v>31</v>
      </c>
      <c r="W9" s="5" t="s">
        <v>66</v>
      </c>
      <c r="Y9" s="1" t="s">
        <v>100</v>
      </c>
    </row>
    <row r="10" spans="1:25">
      <c r="A10" s="1" t="str">
        <f t="shared" si="0"/>
        <v>StackRemoval.Grouping.Code</v>
      </c>
      <c r="B10" s="4" t="s">
        <v>69</v>
      </c>
      <c r="C10" s="4"/>
      <c r="D10" s="4" t="s">
        <v>60</v>
      </c>
      <c r="E10" s="1" t="s">
        <v>23</v>
      </c>
      <c r="F10" s="4" t="s">
        <v>55</v>
      </c>
      <c r="H10" s="4" t="s">
        <v>53</v>
      </c>
      <c r="I10" s="1" t="str">
        <f t="shared" si="1"/>
        <v>DB1002.82</v>
      </c>
      <c r="J10" s="1" t="s">
        <v>18</v>
      </c>
      <c r="K10" s="1">
        <v>1002</v>
      </c>
      <c r="L10" s="1">
        <v>82</v>
      </c>
      <c r="N10" s="1">
        <v>1</v>
      </c>
      <c r="O10" s="1" t="s">
        <v>19</v>
      </c>
      <c r="P10" s="1">
        <v>32</v>
      </c>
      <c r="Q10" s="1" t="s">
        <v>20</v>
      </c>
      <c r="R10" s="1" t="s">
        <v>21</v>
      </c>
      <c r="T10" s="4" t="s">
        <v>103</v>
      </c>
      <c r="V10" s="1" t="s">
        <v>31</v>
      </c>
      <c r="Y10" s="1" t="s">
        <v>100</v>
      </c>
    </row>
    <row r="11" spans="1:25">
      <c r="A11" s="1" t="str">
        <f t="shared" si="0"/>
        <v>Packing.Bagging.ProcessResult</v>
      </c>
      <c r="B11" s="4" t="s">
        <v>67</v>
      </c>
      <c r="D11" s="1" t="s">
        <v>24</v>
      </c>
      <c r="E11" s="4" t="s">
        <v>105</v>
      </c>
      <c r="F11" s="4" t="s">
        <v>56</v>
      </c>
      <c r="H11" s="4" t="s">
        <v>101</v>
      </c>
      <c r="I11" s="1" t="str">
        <f t="shared" si="1"/>
        <v>DB1001.2</v>
      </c>
      <c r="J11" s="1" t="s">
        <v>18</v>
      </c>
      <c r="K11" s="1">
        <v>1001</v>
      </c>
      <c r="L11" s="1">
        <v>2</v>
      </c>
      <c r="N11" s="1">
        <v>2</v>
      </c>
      <c r="O11" s="1" t="s">
        <v>25</v>
      </c>
      <c r="P11" s="1" t="str">
        <f t="shared" si="2"/>
        <v/>
      </c>
      <c r="Q11" s="1" t="s">
        <v>20</v>
      </c>
      <c r="R11" s="1" t="s">
        <v>21</v>
      </c>
      <c r="T11" s="1" t="s">
        <v>105</v>
      </c>
      <c r="V11" s="1" t="s">
        <v>35</v>
      </c>
      <c r="Y11" s="1" t="s">
        <v>33</v>
      </c>
    </row>
    <row r="12" spans="1:25">
      <c r="A12" s="1" t="str">
        <f t="shared" si="0"/>
        <v>Palletizer.Palletizing.ProcessResult</v>
      </c>
      <c r="B12" s="4" t="s">
        <v>68</v>
      </c>
      <c r="D12" s="4" t="s">
        <v>59</v>
      </c>
      <c r="E12" s="4" t="s">
        <v>105</v>
      </c>
      <c r="F12" s="4" t="s">
        <v>61</v>
      </c>
      <c r="H12" s="4" t="s">
        <v>101</v>
      </c>
      <c r="I12" s="1" t="str">
        <f t="shared" si="1"/>
        <v>DB1001.4</v>
      </c>
      <c r="J12" s="1" t="s">
        <v>18</v>
      </c>
      <c r="K12" s="1">
        <v>1001</v>
      </c>
      <c r="L12" s="1">
        <v>4</v>
      </c>
      <c r="N12" s="1">
        <v>2</v>
      </c>
      <c r="O12" s="1" t="s">
        <v>25</v>
      </c>
      <c r="P12" s="1" t="str">
        <f t="shared" si="2"/>
        <v/>
      </c>
      <c r="Q12" s="1" t="s">
        <v>20</v>
      </c>
      <c r="R12" s="1" t="s">
        <v>21</v>
      </c>
      <c r="T12" s="1" t="s">
        <v>105</v>
      </c>
      <c r="V12" s="1" t="s">
        <v>35</v>
      </c>
      <c r="Y12" s="1" t="s">
        <v>34</v>
      </c>
    </row>
    <row r="13" spans="1:25">
      <c r="A13" s="1" t="str">
        <f t="shared" si="0"/>
        <v>Palletizer.Palletizing.Position</v>
      </c>
      <c r="B13" s="4" t="s">
        <v>68</v>
      </c>
      <c r="D13" s="4" t="s">
        <v>59</v>
      </c>
      <c r="E13" s="4" t="s">
        <v>65</v>
      </c>
      <c r="F13" s="4" t="s">
        <v>64</v>
      </c>
      <c r="H13" s="4" t="s">
        <v>101</v>
      </c>
      <c r="I13" s="1" t="str">
        <f t="shared" si="1"/>
        <v>DB1001.6</v>
      </c>
      <c r="J13" s="1" t="s">
        <v>18</v>
      </c>
      <c r="K13" s="1">
        <v>1001</v>
      </c>
      <c r="L13" s="1">
        <v>6</v>
      </c>
      <c r="N13" s="1">
        <v>2</v>
      </c>
      <c r="O13" s="1" t="s">
        <v>25</v>
      </c>
      <c r="P13" s="1" t="str">
        <f t="shared" si="2"/>
        <v/>
      </c>
      <c r="Q13" s="1" t="s">
        <v>20</v>
      </c>
      <c r="R13" s="1" t="s">
        <v>21</v>
      </c>
      <c r="V13" s="1" t="s">
        <v>35</v>
      </c>
      <c r="Y13" s="1" t="s">
        <v>34</v>
      </c>
    </row>
    <row r="14" spans="1:25">
      <c r="A14" s="1" t="str">
        <f t="shared" si="0"/>
        <v>StackRemoval.Grouping.ProcessResult</v>
      </c>
      <c r="B14" s="4" t="s">
        <v>69</v>
      </c>
      <c r="D14" s="4" t="s">
        <v>60</v>
      </c>
      <c r="E14" s="4" t="s">
        <v>105</v>
      </c>
      <c r="F14" s="4" t="s">
        <v>62</v>
      </c>
      <c r="H14" s="4" t="s">
        <v>101</v>
      </c>
      <c r="I14" s="1" t="str">
        <f t="shared" si="1"/>
        <v>DB1001.8</v>
      </c>
      <c r="J14" s="1" t="s">
        <v>18</v>
      </c>
      <c r="K14" s="1">
        <v>1001</v>
      </c>
      <c r="L14" s="1">
        <v>8</v>
      </c>
      <c r="N14" s="1">
        <v>2</v>
      </c>
      <c r="O14" s="1" t="s">
        <v>25</v>
      </c>
      <c r="P14" s="1" t="str">
        <f t="shared" si="2"/>
        <v/>
      </c>
      <c r="Q14" s="1" t="s">
        <v>20</v>
      </c>
      <c r="R14" s="1" t="s">
        <v>21</v>
      </c>
      <c r="T14" s="1" t="s">
        <v>105</v>
      </c>
      <c r="V14" s="1" t="s">
        <v>35</v>
      </c>
      <c r="Y14" s="1" t="s">
        <v>100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"/>
  <sheetViews>
    <sheetView workbookViewId="0">
      <pane xSplit="1" topLeftCell="B1" activePane="topRight" state="frozen"/>
      <selection pane="topRight" activeCell="A4" sqref="A4"/>
    </sheetView>
  </sheetViews>
  <sheetFormatPr defaultColWidth="9" defaultRowHeight="14"/>
  <cols>
    <col min="1" max="1" width="12.25" style="1" customWidth="1"/>
    <col min="2" max="2" width="15.1640625" style="1" customWidth="1"/>
    <col min="3" max="3" width="9" style="1" customWidth="1"/>
    <col min="4" max="4" width="34" style="1" customWidth="1"/>
    <col min="5" max="5" width="9" style="1" customWidth="1"/>
    <col min="6" max="6" width="7.75" style="1" customWidth="1"/>
    <col min="7" max="16384" width="9" style="1"/>
  </cols>
  <sheetData>
    <row r="1" spans="1:9">
      <c r="A1" s="1" t="s">
        <v>23</v>
      </c>
      <c r="B1" s="4" t="s">
        <v>95</v>
      </c>
      <c r="C1" s="4" t="s">
        <v>87</v>
      </c>
      <c r="D1" s="1" t="s">
        <v>36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102</v>
      </c>
    </row>
    <row r="2" spans="1:9">
      <c r="A2" s="1" t="s">
        <v>33</v>
      </c>
      <c r="B2" s="4" t="s">
        <v>85</v>
      </c>
      <c r="C2" s="4" t="s">
        <v>89</v>
      </c>
      <c r="D2" s="1" t="s">
        <v>41</v>
      </c>
      <c r="E2" s="1" t="s">
        <v>42</v>
      </c>
      <c r="F2" s="1" t="s">
        <v>43</v>
      </c>
      <c r="G2" s="1">
        <v>2</v>
      </c>
      <c r="H2" s="1" t="b">
        <v>1</v>
      </c>
    </row>
    <row r="3" spans="1:9">
      <c r="A3" s="1" t="s">
        <v>34</v>
      </c>
      <c r="B3" s="4" t="s">
        <v>85</v>
      </c>
      <c r="C3" s="4" t="s">
        <v>91</v>
      </c>
      <c r="D3" s="4" t="s">
        <v>44</v>
      </c>
      <c r="E3" s="1" t="s">
        <v>45</v>
      </c>
      <c r="F3" s="1" t="s">
        <v>43</v>
      </c>
      <c r="G3" s="1">
        <v>2</v>
      </c>
      <c r="H3" s="1" t="b">
        <v>1</v>
      </c>
    </row>
    <row r="4" spans="1:9">
      <c r="A4" s="1" t="s">
        <v>100</v>
      </c>
      <c r="B4" s="4" t="s">
        <v>85</v>
      </c>
      <c r="C4" s="4" t="s">
        <v>93</v>
      </c>
      <c r="D4" s="4" t="s">
        <v>98</v>
      </c>
      <c r="E4" s="4" t="s">
        <v>79</v>
      </c>
      <c r="F4" s="1" t="s">
        <v>46</v>
      </c>
      <c r="G4" s="1">
        <v>10</v>
      </c>
      <c r="H4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"/>
  <sheetViews>
    <sheetView workbookViewId="0">
      <pane xSplit="1" topLeftCell="B1" activePane="topRight" state="frozen"/>
      <selection pane="topRight" activeCell="C1" sqref="C1"/>
    </sheetView>
  </sheetViews>
  <sheetFormatPr defaultColWidth="12.4140625" defaultRowHeight="14"/>
  <cols>
    <col min="1" max="1" width="11.9140625" style="1" bestFit="1" customWidth="1"/>
    <col min="2" max="2" width="5.58203125" style="1" bestFit="1" customWidth="1"/>
    <col min="3" max="3" width="6.58203125" style="1" bestFit="1" customWidth="1"/>
    <col min="4" max="4" width="14.6640625" style="1" bestFit="1" customWidth="1"/>
    <col min="5" max="5" width="12.25" style="1" bestFit="1" customWidth="1"/>
    <col min="6" max="6" width="32.83203125" style="1" bestFit="1" customWidth="1"/>
    <col min="7" max="7" width="8.75" style="1" bestFit="1" customWidth="1"/>
    <col min="8" max="8" width="7.5" style="1" bestFit="1" customWidth="1"/>
    <col min="9" max="9" width="9.83203125" style="1" bestFit="1" customWidth="1"/>
    <col min="10" max="16384" width="12.4140625" style="1"/>
  </cols>
  <sheetData>
    <row r="1" spans="1:9">
      <c r="A1" s="4" t="s">
        <v>106</v>
      </c>
      <c r="B1" s="4" t="s">
        <v>96</v>
      </c>
      <c r="C1" s="4" t="s">
        <v>88</v>
      </c>
      <c r="D1" s="1" t="s">
        <v>36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102</v>
      </c>
    </row>
    <row r="2" spans="1:9">
      <c r="A2" s="1" t="str">
        <f>_xlfn.CONCAT(B2,"_",C2)</f>
        <v>MDJ1_SDJ01</v>
      </c>
      <c r="B2" s="4" t="s">
        <v>86</v>
      </c>
      <c r="C2" s="4" t="s">
        <v>90</v>
      </c>
      <c r="D2" s="1" t="s">
        <v>41</v>
      </c>
      <c r="E2" s="1" t="s">
        <v>42</v>
      </c>
      <c r="F2" s="1" t="s">
        <v>43</v>
      </c>
      <c r="G2" s="1">
        <v>2</v>
      </c>
      <c r="H2" s="1" t="b">
        <v>1</v>
      </c>
    </row>
    <row r="3" spans="1:9">
      <c r="A3" s="1" t="str">
        <f t="shared" ref="A3:A4" si="0">_xlfn.CONCAT(B3,"_",C3)</f>
        <v>MDJ1_MDJ01</v>
      </c>
      <c r="B3" s="4" t="s">
        <v>86</v>
      </c>
      <c r="C3" s="4" t="s">
        <v>92</v>
      </c>
      <c r="D3" s="4" t="s">
        <v>97</v>
      </c>
      <c r="E3" s="4" t="s">
        <v>68</v>
      </c>
      <c r="F3" s="1" t="s">
        <v>43</v>
      </c>
      <c r="G3" s="1">
        <v>2</v>
      </c>
      <c r="H3" s="1" t="b">
        <v>1</v>
      </c>
    </row>
    <row r="4" spans="1:9">
      <c r="A4" s="1" t="str">
        <f t="shared" si="0"/>
        <v>MDJ1_CDJ01</v>
      </c>
      <c r="B4" s="4" t="s">
        <v>86</v>
      </c>
      <c r="C4" s="4" t="s">
        <v>94</v>
      </c>
      <c r="D4" s="4" t="s">
        <v>99</v>
      </c>
      <c r="E4" s="4" t="s">
        <v>69</v>
      </c>
      <c r="F4" s="1" t="s">
        <v>46</v>
      </c>
      <c r="G4" s="1">
        <v>10</v>
      </c>
      <c r="H4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CommunicationTags</vt:lpstr>
      <vt:lpstr>DomainTags</vt:lpstr>
      <vt:lpstr>TagRaw</vt:lpstr>
      <vt:lpstr>Device</vt:lpstr>
      <vt:lpstr>DeviceRaw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 Shi</cp:lastModifiedBy>
  <dcterms:created xsi:type="dcterms:W3CDTF">2025-04-17T08:18:00Z</dcterms:created>
  <dcterms:modified xsi:type="dcterms:W3CDTF">2025-12-21T03:10:00Z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37575C1A2FBA4C53AF52EBBA77B09B0E_12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