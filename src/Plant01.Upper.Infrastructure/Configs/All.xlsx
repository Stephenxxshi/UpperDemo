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MyCode\demo\UpperDemo\src\Plant01.Upper.Infrastructure\Configs\"/>
    </mc:Choice>
  </mc:AlternateContent>
  <xr:revisionPtr revIDLastSave="0" documentId="13_ncr:1_{DF43DF93-B575-4DBE-90E8-F7E9F3E30CA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mmunicationTags" sheetId="1" r:id="rId1"/>
    <sheet name="DomainTags" sheetId="7" r:id="rId2"/>
    <sheet name="Device" sheetId="6" r:id="rId3"/>
    <sheet name="SiemensS7TagRaw" sheetId="2" r:id="rId4"/>
    <sheet name="EquipmentRaw" sheetId="5" r:id="rId5"/>
    <sheet name="StationRaw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8" l="1"/>
  <c r="A37" i="8"/>
  <c r="D19" i="8"/>
  <c r="A19" i="8"/>
  <c r="I37" i="5"/>
  <c r="I19" i="5"/>
  <c r="J33" i="2"/>
  <c r="J34" i="2"/>
  <c r="J35" i="2"/>
  <c r="J36" i="2"/>
  <c r="J37" i="2"/>
  <c r="J38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2" i="2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2" i="8"/>
  <c r="I30" i="5"/>
  <c r="A30" i="5"/>
  <c r="I12" i="5"/>
  <c r="A12" i="5"/>
  <c r="A3" i="5"/>
  <c r="A4" i="5"/>
  <c r="A5" i="5"/>
  <c r="A6" i="5"/>
  <c r="A7" i="5"/>
  <c r="A8" i="5"/>
  <c r="A9" i="5"/>
  <c r="A10" i="5"/>
  <c r="A11" i="5"/>
  <c r="A13" i="5"/>
  <c r="A14" i="5"/>
  <c r="A15" i="5"/>
  <c r="A16" i="5"/>
  <c r="A17" i="5"/>
  <c r="A18" i="5"/>
  <c r="A20" i="5"/>
  <c r="A21" i="5"/>
  <c r="A22" i="5"/>
  <c r="A23" i="5"/>
  <c r="A24" i="5"/>
  <c r="A25" i="5"/>
  <c r="A26" i="5"/>
  <c r="A27" i="5"/>
  <c r="A28" i="5"/>
  <c r="A29" i="5"/>
  <c r="A31" i="5"/>
  <c r="A32" i="5"/>
  <c r="A33" i="5"/>
  <c r="A34" i="5"/>
  <c r="A35" i="5"/>
  <c r="A36" i="5"/>
  <c r="A2" i="5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2" i="8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2" i="2"/>
  <c r="I20" i="5"/>
  <c r="R38" i="2"/>
  <c r="A38" i="2"/>
  <c r="R37" i="2"/>
  <c r="A37" i="2"/>
  <c r="R36" i="2"/>
  <c r="A36" i="2"/>
  <c r="R35" i="2"/>
  <c r="A35" i="2"/>
  <c r="R34" i="2"/>
  <c r="A34" i="2"/>
  <c r="R33" i="2"/>
  <c r="A33" i="2"/>
  <c r="R32" i="2"/>
  <c r="J32" i="2"/>
  <c r="A32" i="2"/>
  <c r="R31" i="2"/>
  <c r="J31" i="2"/>
  <c r="A31" i="2"/>
  <c r="J30" i="2"/>
  <c r="A30" i="2"/>
  <c r="J29" i="2"/>
  <c r="A29" i="2"/>
  <c r="J28" i="2"/>
  <c r="A28" i="2"/>
  <c r="J27" i="2"/>
  <c r="A27" i="2"/>
  <c r="J26" i="2"/>
  <c r="A26" i="2"/>
  <c r="J25" i="2"/>
  <c r="A25" i="2"/>
  <c r="J24" i="2"/>
  <c r="A24" i="2"/>
  <c r="J23" i="2"/>
  <c r="A23" i="2"/>
  <c r="J22" i="2"/>
  <c r="A22" i="2"/>
  <c r="J21" i="2"/>
  <c r="A21" i="2"/>
  <c r="J20" i="2"/>
  <c r="A20" i="2"/>
  <c r="J19" i="2"/>
  <c r="A19" i="2"/>
  <c r="J18" i="2"/>
  <c r="A18" i="2"/>
  <c r="J17" i="2"/>
  <c r="A17" i="2"/>
  <c r="J16" i="2"/>
  <c r="A16" i="2"/>
  <c r="J15" i="2"/>
  <c r="A15" i="2"/>
  <c r="J14" i="2"/>
  <c r="A14" i="2"/>
  <c r="J13" i="2"/>
  <c r="A13" i="2"/>
  <c r="R12" i="2"/>
  <c r="J12" i="2"/>
  <c r="A12" i="2"/>
  <c r="R11" i="2"/>
  <c r="J11" i="2"/>
  <c r="A11" i="2"/>
  <c r="J10" i="2"/>
  <c r="A10" i="2"/>
  <c r="R9" i="2"/>
  <c r="J9" i="2"/>
  <c r="A9" i="2"/>
  <c r="J8" i="2"/>
  <c r="A8" i="2"/>
  <c r="R7" i="2"/>
  <c r="J7" i="2"/>
  <c r="A7" i="2"/>
  <c r="R6" i="2"/>
  <c r="J6" i="2"/>
  <c r="A6" i="2"/>
  <c r="J5" i="2"/>
  <c r="A5" i="2"/>
  <c r="J4" i="2"/>
  <c r="A4" i="2"/>
  <c r="J3" i="2"/>
  <c r="A3" i="2"/>
  <c r="J2" i="2"/>
  <c r="A2" i="2"/>
  <c r="I2" i="5"/>
  <c r="Q20" i="1"/>
  <c r="J20" i="1"/>
  <c r="Q19" i="1"/>
  <c r="J19" i="1"/>
  <c r="Q18" i="1"/>
  <c r="J18" i="1"/>
  <c r="Q17" i="1"/>
  <c r="J17" i="1"/>
  <c r="J16" i="1"/>
  <c r="J15" i="1"/>
  <c r="J14" i="1"/>
  <c r="Q13" i="1"/>
  <c r="J13" i="1"/>
  <c r="Q12" i="1"/>
  <c r="J12" i="1"/>
  <c r="J11" i="1"/>
  <c r="Q10" i="1"/>
  <c r="J10" i="1"/>
  <c r="Q9" i="1"/>
  <c r="J9" i="1"/>
  <c r="J8" i="1"/>
  <c r="Q7" i="1"/>
  <c r="J7" i="1"/>
  <c r="Q6" i="1"/>
  <c r="J6" i="1"/>
  <c r="J5" i="1"/>
  <c r="J4" i="1"/>
  <c r="J3" i="1"/>
  <c r="J2" i="1"/>
  <c r="I34" i="5"/>
  <c r="I16" i="5"/>
  <c r="I35" i="5"/>
  <c r="I17" i="5"/>
  <c r="I4" i="5"/>
  <c r="I5" i="5"/>
  <c r="I6" i="5"/>
  <c r="I7" i="5"/>
  <c r="I8" i="5"/>
  <c r="I9" i="5"/>
  <c r="I10" i="5"/>
  <c r="I11" i="5"/>
  <c r="I13" i="5"/>
  <c r="I14" i="5"/>
  <c r="I15" i="5"/>
  <c r="I18" i="5"/>
  <c r="I21" i="5"/>
  <c r="I22" i="5"/>
  <c r="I23" i="5"/>
  <c r="I24" i="5"/>
  <c r="I25" i="5"/>
  <c r="I26" i="5"/>
  <c r="I27" i="5"/>
  <c r="I28" i="5"/>
  <c r="I29" i="5"/>
  <c r="I31" i="5"/>
  <c r="I32" i="5"/>
  <c r="I33" i="5"/>
  <c r="I36" i="5"/>
  <c r="I3" i="5"/>
</calcChain>
</file>

<file path=xl/sharedStrings.xml><?xml version="1.0" encoding="utf-8"?>
<sst xmlns="http://schemas.openxmlformats.org/spreadsheetml/2006/main" count="1476" uniqueCount="364">
  <si>
    <t>TagName</t>
  </si>
  <si>
    <t>Station</t>
  </si>
  <si>
    <t>EquipmentCode</t>
  </si>
  <si>
    <t>Unit</t>
  </si>
  <si>
    <t>Signal</t>
  </si>
  <si>
    <t>CnName</t>
  </si>
  <si>
    <t>Description</t>
  </si>
  <si>
    <t>DataType</t>
  </si>
  <si>
    <t>Address</t>
  </si>
  <si>
    <t>S7AreaType</t>
  </si>
  <si>
    <t>S7DbNumber</t>
  </si>
  <si>
    <t>S7Offset</t>
  </si>
  <si>
    <t>S7BitOffset</t>
  </si>
  <si>
    <t>S7BatchReadingId</t>
  </si>
  <si>
    <t>RW</t>
  </si>
  <si>
    <t>Length</t>
  </si>
  <si>
    <t>ChannelCode</t>
  </si>
  <si>
    <t>DeviceCode</t>
  </si>
  <si>
    <t>DB</t>
  </si>
  <si>
    <t>READONLY</t>
  </si>
  <si>
    <t>SiemensS7Tcp</t>
  </si>
  <si>
    <t>PLC01</t>
  </si>
  <si>
    <t>Request</t>
  </si>
  <si>
    <t>Code</t>
  </si>
  <si>
    <t>Bagging</t>
  </si>
  <si>
    <t>WRITEONLY</t>
  </si>
  <si>
    <t>Purpose</t>
  </si>
  <si>
    <t>IsCritical</t>
  </si>
  <si>
    <t>Direction</t>
  </si>
  <si>
    <t>TriggerCondition</t>
  </si>
  <si>
    <t>Remarks</t>
  </si>
  <si>
    <t>Input</t>
  </si>
  <si>
    <t>ProcessTrigger</t>
  </si>
  <si>
    <t>MDJ1_MDJ01</t>
  </si>
  <si>
    <t>OutPut</t>
  </si>
  <si>
    <t>Name</t>
  </si>
  <si>
    <t>Type</t>
  </si>
  <si>
    <t>Capabilities</t>
  </si>
  <si>
    <t>Sequence</t>
  </si>
  <si>
    <t>Enabled</t>
  </si>
  <si>
    <t>包装机状态</t>
  </si>
  <si>
    <t>申请读码</t>
  </si>
  <si>
    <t>袋码数据</t>
  </si>
  <si>
    <t>码垛机状态</t>
  </si>
  <si>
    <t>码垛袋码</t>
  </si>
  <si>
    <t>码垛包数</t>
  </si>
  <si>
    <t>STRING</t>
    <phoneticPr fontId="2" type="noConversion"/>
  </si>
  <si>
    <t>组托申请读码</t>
    <phoneticPr fontId="2" type="noConversion"/>
  </si>
  <si>
    <t>组托袋码数据</t>
    <phoneticPr fontId="2" type="noConversion"/>
  </si>
  <si>
    <t>包装机读码完成</t>
    <phoneticPr fontId="2" type="noConversion"/>
  </si>
  <si>
    <t>Status</t>
    <phoneticPr fontId="2" type="noConversion"/>
  </si>
  <si>
    <t>Sn</t>
    <phoneticPr fontId="2" type="noConversion"/>
  </si>
  <si>
    <t>Palletizing</t>
    <phoneticPr fontId="2" type="noConversion"/>
  </si>
  <si>
    <t>Grouping</t>
    <phoneticPr fontId="2" type="noConversion"/>
  </si>
  <si>
    <t>码垛机读码完成</t>
    <phoneticPr fontId="2" type="noConversion"/>
  </si>
  <si>
    <t>组托读码完成</t>
    <phoneticPr fontId="2" type="noConversion"/>
  </si>
  <si>
    <t>垛位号</t>
    <phoneticPr fontId="2" type="noConversion"/>
  </si>
  <si>
    <t>Position</t>
    <phoneticPr fontId="2" type="noConversion"/>
  </si>
  <si>
    <t>=1</t>
    <phoneticPr fontId="2" type="noConversion"/>
  </si>
  <si>
    <t>Palletizer</t>
    <phoneticPr fontId="2" type="noConversion"/>
  </si>
  <si>
    <t>MDJ1</t>
    <phoneticPr fontId="2" type="noConversion"/>
  </si>
  <si>
    <t>MDJ01</t>
    <phoneticPr fontId="2" type="noConversion"/>
  </si>
  <si>
    <t>CDJ01</t>
    <phoneticPr fontId="2" type="noConversion"/>
  </si>
  <si>
    <t>Line</t>
    <phoneticPr fontId="2" type="noConversion"/>
  </si>
  <si>
    <t>MDJ1_CDJ01</t>
  </si>
  <si>
    <t>Short</t>
    <phoneticPr fontId="2" type="noConversion"/>
  </si>
  <si>
    <t>ConfigJson</t>
  </si>
  <si>
    <t>QrCode</t>
    <phoneticPr fontId="2" type="noConversion"/>
  </si>
  <si>
    <t>ProcessTrigger</t>
    <phoneticPr fontId="2" type="noConversion"/>
  </si>
  <si>
    <t>ProcessResult</t>
  </si>
  <si>
    <t>Code</t>
    <phoneticPr fontId="2" type="noConversion"/>
  </si>
  <si>
    <t>PalletCode</t>
    <phoneticPr fontId="2" type="noConversion"/>
  </si>
  <si>
    <t>PalletOut</t>
    <phoneticPr fontId="2" type="noConversion"/>
  </si>
  <si>
    <t>垛盘码数据</t>
  </si>
  <si>
    <t>MDJ2</t>
    <phoneticPr fontId="2" type="noConversion"/>
  </si>
  <si>
    <t>Packaging</t>
    <phoneticPr fontId="2" type="noConversion"/>
  </si>
  <si>
    <t>BZJ01</t>
    <phoneticPr fontId="2" type="noConversion"/>
  </si>
  <si>
    <t>BZJ02</t>
  </si>
  <si>
    <t>BZJ03</t>
  </si>
  <si>
    <t>BZJ04</t>
  </si>
  <si>
    <t>包装机01</t>
    <phoneticPr fontId="2" type="noConversion"/>
  </si>
  <si>
    <t>包装机02</t>
  </si>
  <si>
    <t>包装机03</t>
  </si>
  <si>
    <t>包装机04</t>
  </si>
  <si>
    <t>包装机05</t>
  </si>
  <si>
    <t>包装机06</t>
  </si>
  <si>
    <t>包装机07</t>
  </si>
  <si>
    <t>包装机08</t>
  </si>
  <si>
    <t>BZJ05</t>
  </si>
  <si>
    <t>BZJ06</t>
  </si>
  <si>
    <t>BZJ07</t>
  </si>
  <si>
    <t>BZJ08</t>
  </si>
  <si>
    <t>BZJ09</t>
  </si>
  <si>
    <t>BZJ10</t>
  </si>
  <si>
    <t>BZJ11</t>
  </si>
  <si>
    <t>BZJ12</t>
  </si>
  <si>
    <t>BZJ13</t>
  </si>
  <si>
    <t>BZJ14</t>
  </si>
  <si>
    <t>BZJ15</t>
  </si>
  <si>
    <t>BZJ16</t>
  </si>
  <si>
    <t>包装机09</t>
  </si>
  <si>
    <t>包装机10</t>
  </si>
  <si>
    <t>包装机11</t>
  </si>
  <si>
    <t>包装机12</t>
  </si>
  <si>
    <t>包装机13</t>
  </si>
  <si>
    <t>包装机14</t>
  </si>
  <si>
    <t>包装机15</t>
  </si>
  <si>
    <t>包装机16</t>
  </si>
  <si>
    <t>码垛机01</t>
    <phoneticPr fontId="2" type="noConversion"/>
  </si>
  <si>
    <t>MDJ02</t>
  </si>
  <si>
    <t>MDJ03</t>
  </si>
  <si>
    <t>MDJ04</t>
  </si>
  <si>
    <t>MDJ05</t>
  </si>
  <si>
    <t>MDJ06</t>
  </si>
  <si>
    <t>码垛机02</t>
  </si>
  <si>
    <t>码垛机03</t>
  </si>
  <si>
    <t>码垛机04</t>
  </si>
  <si>
    <t>码垛机05</t>
  </si>
  <si>
    <t>码垛机06</t>
  </si>
  <si>
    <t>称重机01</t>
    <phoneticPr fontId="2" type="noConversion"/>
  </si>
  <si>
    <t>CZJ01</t>
    <phoneticPr fontId="2" type="noConversion"/>
  </si>
  <si>
    <t>CZJ02</t>
  </si>
  <si>
    <t>称重机02</t>
    <phoneticPr fontId="2" type="noConversion"/>
  </si>
  <si>
    <t>Checkweigher</t>
  </si>
  <si>
    <t>Labeling</t>
  </si>
  <si>
    <t>贴标机01</t>
    <phoneticPr fontId="2" type="noConversion"/>
  </si>
  <si>
    <t>贴标机02</t>
  </si>
  <si>
    <t>TBJ01</t>
    <phoneticPr fontId="2" type="noConversion"/>
  </si>
  <si>
    <t>TBJ02</t>
  </si>
  <si>
    <t>1秒心跳</t>
  </si>
  <si>
    <t>手动模式</t>
  </si>
  <si>
    <t>自动模式</t>
  </si>
  <si>
    <t>运行状态</t>
  </si>
  <si>
    <t>FMJ01</t>
    <phoneticPr fontId="2" type="noConversion"/>
  </si>
  <si>
    <t>覆膜机01</t>
    <phoneticPr fontId="2" type="noConversion"/>
  </si>
  <si>
    <t>StretchWrapper</t>
  </si>
  <si>
    <t>FMJ02</t>
    <phoneticPr fontId="2" type="noConversion"/>
  </si>
  <si>
    <t>覆膜机02</t>
    <phoneticPr fontId="2" type="noConversion"/>
  </si>
  <si>
    <t>ManualMode</t>
  </si>
  <si>
    <t>ManualMode</t>
    <phoneticPr fontId="2" type="noConversion"/>
  </si>
  <si>
    <t>RunningStatus</t>
    <phoneticPr fontId="2" type="noConversion"/>
  </si>
  <si>
    <t>AutoMode</t>
  </si>
  <si>
    <t>AutoMode</t>
    <phoneticPr fontId="2" type="noConversion"/>
  </si>
  <si>
    <t>Bool</t>
    <phoneticPr fontId="2" type="noConversion"/>
  </si>
  <si>
    <t>出垛机01</t>
    <phoneticPr fontId="2" type="noConversion"/>
  </si>
  <si>
    <t>CDJ02</t>
    <phoneticPr fontId="2" type="noConversion"/>
  </si>
  <si>
    <t>出垛机02</t>
    <phoneticPr fontId="2" type="noConversion"/>
  </si>
  <si>
    <t>PMJ01</t>
    <phoneticPr fontId="2" type="noConversion"/>
  </si>
  <si>
    <t>Inkjet</t>
    <phoneticPr fontId="2" type="noConversion"/>
  </si>
  <si>
    <t>READWRITE</t>
    <phoneticPr fontId="2" type="noConversion"/>
  </si>
  <si>
    <t>MDJ1_BZJ01</t>
    <phoneticPr fontId="2" type="noConversion"/>
  </si>
  <si>
    <t>Checkweigher</t>
    <phoneticPr fontId="2" type="noConversion"/>
  </si>
  <si>
    <t>包装工位01</t>
    <phoneticPr fontId="2" type="noConversion"/>
  </si>
  <si>
    <t>包装工位02</t>
  </si>
  <si>
    <t>包装工位03</t>
  </si>
  <si>
    <t>包装工位04</t>
  </si>
  <si>
    <t>包装工位05</t>
  </si>
  <si>
    <t>包装工位06</t>
  </si>
  <si>
    <t>包装工位07</t>
  </si>
  <si>
    <t>包装工位08</t>
  </si>
  <si>
    <t>称重工位01</t>
  </si>
  <si>
    <t>码垛工位01</t>
  </si>
  <si>
    <t>码垛工位02</t>
  </si>
  <si>
    <t>码垛工位03</t>
  </si>
  <si>
    <t>出垛工位01</t>
  </si>
  <si>
    <t>覆膜工位01</t>
  </si>
  <si>
    <t>贴标工位01</t>
  </si>
  <si>
    <t>包装工位09</t>
  </si>
  <si>
    <t>包装工位10</t>
  </si>
  <si>
    <t>包装工位11</t>
  </si>
  <si>
    <t>包装工位12</t>
  </si>
  <si>
    <t>包装工位13</t>
  </si>
  <si>
    <t>包装工位14</t>
  </si>
  <si>
    <t>包装工位15</t>
  </si>
  <si>
    <t>包装工位16</t>
  </si>
  <si>
    <t>称重工位02</t>
  </si>
  <si>
    <t>码垛工位04</t>
  </si>
  <si>
    <t>码垛工位05</t>
  </si>
  <si>
    <t>码垛工位06</t>
  </si>
  <si>
    <t>出垛工位02</t>
  </si>
  <si>
    <t>覆膜工位02</t>
  </si>
  <si>
    <t>贴标工位02</t>
  </si>
  <si>
    <t>StretchWrapper</t>
    <phoneticPr fontId="2" type="noConversion"/>
  </si>
  <si>
    <t>喷码工位01</t>
    <phoneticPr fontId="2" type="noConversion"/>
  </si>
  <si>
    <t>喷码工位02</t>
    <phoneticPr fontId="2" type="noConversion"/>
  </si>
  <si>
    <t>Equipment</t>
    <phoneticPr fontId="2" type="noConversion"/>
  </si>
  <si>
    <t>BZJ01.Bagging.Status</t>
  </si>
  <si>
    <t>BZJ01.Bagging.Request</t>
  </si>
  <si>
    <t>BZJ01.Bagging.Code</t>
  </si>
  <si>
    <t>MDJ01.Palletizing.Status</t>
  </si>
  <si>
    <t>MDJ01.Palletizing.Request</t>
  </si>
  <si>
    <t>MDJ01.Palletizing.Code</t>
  </si>
  <si>
    <t>MDJ01.Palletizing.Sn</t>
  </si>
  <si>
    <t>MDJ1_BZJ01</t>
  </si>
  <si>
    <t>LineCode</t>
    <phoneticPr fontId="2" type="noConversion"/>
  </si>
  <si>
    <t>EquipmentRefsStr</t>
  </si>
  <si>
    <t>MDJ1_BZJ02</t>
  </si>
  <si>
    <t>MDJ1_BZJ03</t>
  </si>
  <si>
    <t>MDJ1_BZJ04</t>
  </si>
  <si>
    <t>MDJ1_BZJ05</t>
  </si>
  <si>
    <t>MDJ1_BZJ06</t>
  </si>
  <si>
    <t>MDJ1_BZJ07</t>
  </si>
  <si>
    <t>MDJ1_BZJ08</t>
  </si>
  <si>
    <t>MDJ1_CZJ01</t>
  </si>
  <si>
    <t>MDJ1_MDJ02</t>
  </si>
  <si>
    <t>MDJ1_MDJ03</t>
  </si>
  <si>
    <t>MDJ1_FMJ01</t>
  </si>
  <si>
    <t>MDJ1_TBJ01</t>
  </si>
  <si>
    <t>MDJ2_BZJ09</t>
  </si>
  <si>
    <t>MDJ2_BZJ10</t>
  </si>
  <si>
    <t>MDJ2_BZJ11</t>
  </si>
  <si>
    <t>MDJ2_BZJ12</t>
  </si>
  <si>
    <t>MDJ2_BZJ13</t>
  </si>
  <si>
    <t>MDJ2_BZJ14</t>
  </si>
  <si>
    <t>MDJ2_BZJ15</t>
  </si>
  <si>
    <t>MDJ2_BZJ16</t>
  </si>
  <si>
    <t>MDJ2_CZJ02</t>
  </si>
  <si>
    <t>MDJ2_MDJ04</t>
  </si>
  <si>
    <t>MDJ2_MDJ05</t>
  </si>
  <si>
    <t>MDJ2_MDJ06</t>
  </si>
  <si>
    <t>MDJ2_CDJ02</t>
  </si>
  <si>
    <t>MDJ2_FMJ02</t>
  </si>
  <si>
    <t>MDJ2_TBJ02</t>
  </si>
  <si>
    <t>Heartbeat</t>
  </si>
  <si>
    <t>CDJ01.Grouping.Request</t>
  </si>
  <si>
    <t>CDJ01.Grouping.Code</t>
  </si>
  <si>
    <t>CDJ01.Grouping.PalletCode</t>
  </si>
  <si>
    <t>BZJ01.Bagging.ProcessResult</t>
  </si>
  <si>
    <t>MDJ01.Palletizing.ProcessResult</t>
  </si>
  <si>
    <t>MDJ01.Palletizing.Position</t>
  </si>
  <si>
    <t>CDJ01.Grouping.ProcessResult</t>
  </si>
  <si>
    <t>虚拟工位01</t>
    <phoneticPr fontId="2" type="noConversion"/>
  </si>
  <si>
    <t>System</t>
    <phoneticPr fontId="2" type="noConversion"/>
  </si>
  <si>
    <t>PLC01</t>
    <phoneticPr fontId="2" type="noConversion"/>
  </si>
  <si>
    <t>MDJ1_PLC01</t>
    <phoneticPr fontId="2" type="noConversion"/>
  </si>
  <si>
    <t>MDJ1.ManualMode</t>
  </si>
  <si>
    <t>MDJ1.AutoMode</t>
  </si>
  <si>
    <t>MDJ1.RunningStatus</t>
  </si>
  <si>
    <t>虚拟设备</t>
    <phoneticPr fontId="2" type="noConversion"/>
  </si>
  <si>
    <t>MDJ1.Input.Heartbeat</t>
  </si>
  <si>
    <t>MDJ1.OutPut.Heartbeat</t>
  </si>
  <si>
    <t>PLC02</t>
    <phoneticPr fontId="2" type="noConversion"/>
  </si>
  <si>
    <t>虚拟工位02</t>
    <phoneticPr fontId="2" type="noConversion"/>
  </si>
  <si>
    <t>MDJ2_PLC02</t>
  </si>
  <si>
    <t>Labeling</t>
    <phoneticPr fontId="2" type="noConversion"/>
  </si>
  <si>
    <t>称重数据</t>
    <phoneticPr fontId="2" type="noConversion"/>
  </si>
  <si>
    <t>Data</t>
    <phoneticPr fontId="2" type="noConversion"/>
  </si>
  <si>
    <t>包装重量</t>
  </si>
  <si>
    <t>包装时间</t>
  </si>
  <si>
    <t>Weight</t>
    <phoneticPr fontId="2" type="noConversion"/>
  </si>
  <si>
    <t>TimeOffset</t>
    <phoneticPr fontId="2" type="noConversion"/>
  </si>
  <si>
    <t>Float</t>
    <phoneticPr fontId="2" type="noConversion"/>
  </si>
  <si>
    <t>MDJ1_PLC01</t>
  </si>
  <si>
    <t>Input</t>
    <phoneticPr fontId="2" type="noConversion"/>
  </si>
  <si>
    <t>Output</t>
    <phoneticPr fontId="2" type="noConversion"/>
  </si>
  <si>
    <t>EquipmentName</t>
    <phoneticPr fontId="2" type="noConversion"/>
  </si>
  <si>
    <t>包装机01</t>
  </si>
  <si>
    <t>产线01</t>
    <phoneticPr fontId="2" type="noConversion"/>
  </si>
  <si>
    <t>称重机01</t>
  </si>
  <si>
    <t>喷码机01</t>
  </si>
  <si>
    <t>码垛机01</t>
  </si>
  <si>
    <t>贴标机01</t>
  </si>
  <si>
    <t>喷码机01</t>
    <phoneticPr fontId="2" type="noConversion"/>
  </si>
  <si>
    <t>出垛01</t>
    <phoneticPr fontId="2" type="noConversion"/>
  </si>
  <si>
    <t>覆膜缠绕机01</t>
    <phoneticPr fontId="2" type="noConversion"/>
  </si>
  <si>
    <t>LineCode</t>
  </si>
  <si>
    <t>StationCode</t>
  </si>
  <si>
    <t>StationCode</t>
    <phoneticPr fontId="2" type="noConversion"/>
  </si>
  <si>
    <t>EquipmentCode</t>
    <phoneticPr fontId="2" type="noConversion"/>
  </si>
  <si>
    <t>WS</t>
    <phoneticPr fontId="2" type="noConversion"/>
  </si>
  <si>
    <t>ExtendCode</t>
  </si>
  <si>
    <t>ExtendCode</t>
    <phoneticPr fontId="2" type="noConversion"/>
  </si>
  <si>
    <t>PMJ01</t>
  </si>
  <si>
    <t>Inkjet</t>
  </si>
  <si>
    <t>PMJ02</t>
  </si>
  <si>
    <t>PMJ02</t>
    <phoneticPr fontId="2" type="noConversion"/>
  </si>
  <si>
    <t>喷码机02</t>
  </si>
  <si>
    <t>喷码机02</t>
    <phoneticPr fontId="2" type="noConversion"/>
  </si>
  <si>
    <t>BZJ01</t>
  </si>
  <si>
    <t>CZJ01</t>
  </si>
  <si>
    <t>MDJ01</t>
  </si>
  <si>
    <t>CDJ01</t>
  </si>
  <si>
    <t>FMJ01</t>
  </si>
  <si>
    <t>TBJ01</t>
  </si>
  <si>
    <t>PLC02</t>
  </si>
  <si>
    <t>CDJ02</t>
  </si>
  <si>
    <t>FMJ02</t>
  </si>
  <si>
    <t>WS_PLC01</t>
  </si>
  <si>
    <t>WS_BZJ01</t>
  </si>
  <si>
    <t>WS_BZJ02</t>
  </si>
  <si>
    <t>WS_BZJ03</t>
  </si>
  <si>
    <t>WS_BZJ04</t>
  </si>
  <si>
    <t>WS_BZJ05</t>
  </si>
  <si>
    <t>WS_BZJ06</t>
  </si>
  <si>
    <t>WS_BZJ07</t>
  </si>
  <si>
    <t>WS_BZJ08</t>
  </si>
  <si>
    <t>WS_CZJ01</t>
  </si>
  <si>
    <t>WS_PMJ01</t>
  </si>
  <si>
    <t>WS_MDJ01</t>
  </si>
  <si>
    <t>WS_MDJ02</t>
  </si>
  <si>
    <t>WS_MDJ03</t>
  </si>
  <si>
    <t>WS_CDJ01</t>
  </si>
  <si>
    <t>WS_FMJ01</t>
  </si>
  <si>
    <t>WS_TBJ01</t>
  </si>
  <si>
    <t>WS_PLC02</t>
  </si>
  <si>
    <t>WS_BZJ09</t>
  </si>
  <si>
    <t>WS_BZJ10</t>
  </si>
  <si>
    <t>WS_BZJ11</t>
  </si>
  <si>
    <t>WS_BZJ12</t>
  </si>
  <si>
    <t>WS_BZJ13</t>
  </si>
  <si>
    <t>WS_BZJ14</t>
  </si>
  <si>
    <t>WS_BZJ15</t>
  </si>
  <si>
    <t>WS_BZJ16</t>
  </si>
  <si>
    <t>WS_CZJ02</t>
  </si>
  <si>
    <t>WS_PMJ02</t>
  </si>
  <si>
    <t>WS_MDJ04</t>
  </si>
  <si>
    <t>WS_MDJ05</t>
  </si>
  <si>
    <t>WS_MDJ06</t>
  </si>
  <si>
    <t>WS_CDJ02</t>
  </si>
  <si>
    <t>WS_FMJ02</t>
  </si>
  <si>
    <t>WS_TBJ02</t>
  </si>
  <si>
    <t>MDJ1</t>
  </si>
  <si>
    <t>虚拟设备</t>
  </si>
  <si>
    <t>System</t>
  </si>
  <si>
    <t>Packaging</t>
  </si>
  <si>
    <t>MDJ1_PMJ01</t>
  </si>
  <si>
    <t>Palletizer</t>
  </si>
  <si>
    <t>出垛机01</t>
  </si>
  <si>
    <t>PalletOut</t>
  </si>
  <si>
    <t>覆膜机01</t>
  </si>
  <si>
    <t>MDJ2</t>
  </si>
  <si>
    <t>称重机02</t>
  </si>
  <si>
    <t>MDJ1_PMJ02</t>
  </si>
  <si>
    <t>出垛机02</t>
  </si>
  <si>
    <t>覆膜机02</t>
  </si>
  <si>
    <t>申请读码</t>
    <phoneticPr fontId="2" type="noConversion"/>
  </si>
  <si>
    <t>袋码数据</t>
    <phoneticPr fontId="2" type="noConversion"/>
  </si>
  <si>
    <t>垛盘码数据</t>
    <phoneticPr fontId="2" type="noConversion"/>
  </si>
  <si>
    <t>读码完成</t>
    <phoneticPr fontId="2" type="noConversion"/>
  </si>
  <si>
    <t>状态</t>
    <phoneticPr fontId="2" type="noConversion"/>
  </si>
  <si>
    <t>SignalName</t>
    <phoneticPr fontId="2" type="noConversion"/>
  </si>
  <si>
    <t>SignalCode</t>
    <phoneticPr fontId="2" type="noConversion"/>
  </si>
  <si>
    <t>Unit</t>
    <phoneticPr fontId="2" type="noConversion"/>
  </si>
  <si>
    <t>TagCode</t>
    <phoneticPr fontId="2" type="noConversion"/>
  </si>
  <si>
    <t>TagName</t>
    <phoneticPr fontId="2" type="noConversion"/>
  </si>
  <si>
    <t>R</t>
    <phoneticPr fontId="2" type="noConversion"/>
  </si>
  <si>
    <t>W</t>
    <phoneticPr fontId="2" type="noConversion"/>
  </si>
  <si>
    <t>RW</t>
    <phoneticPr fontId="2" type="noConversion"/>
  </si>
  <si>
    <t>S7BatchReadingId</t>
    <phoneticPr fontId="2" type="noConversion"/>
  </si>
  <si>
    <t>S7DataType</t>
    <phoneticPr fontId="2" type="noConversion"/>
  </si>
  <si>
    <t>Int</t>
    <phoneticPr fontId="2" type="noConversion"/>
  </si>
  <si>
    <t>Real</t>
    <phoneticPr fontId="2" type="noConversion"/>
  </si>
  <si>
    <t>String</t>
    <phoneticPr fontId="2" type="noConversion"/>
  </si>
  <si>
    <t>JPJ01</t>
    <phoneticPr fontId="2" type="noConversion"/>
  </si>
  <si>
    <t>进盘机01</t>
    <phoneticPr fontId="2" type="noConversion"/>
  </si>
  <si>
    <t>PalletStack</t>
  </si>
  <si>
    <t>WS_JPJ01</t>
  </si>
  <si>
    <t>进盘机02</t>
    <phoneticPr fontId="2" type="noConversion"/>
  </si>
  <si>
    <t>JPJ02</t>
    <phoneticPr fontId="2" type="noConversion"/>
  </si>
  <si>
    <t>WS_JPJ02</t>
    <phoneticPr fontId="2" type="noConversion"/>
  </si>
  <si>
    <t>进盘工位02</t>
    <phoneticPr fontId="2" type="noConversion"/>
  </si>
  <si>
    <t>进盘工位01</t>
    <phoneticPr fontId="2" type="noConversion"/>
  </si>
  <si>
    <t>LineStatus</t>
    <phoneticPr fontId="2" type="noConversion"/>
  </si>
  <si>
    <t>ValueTransformExpression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</si>
</sst>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workbookViewId="0">
      <selection activeCell="F15" sqref="F15"/>
    </sheetView>
  </sheetViews>
  <sheetFormatPr defaultColWidth="9" defaultRowHeight="14.25"/>
  <cols>
    <col min="1" max="1" width="28.75" style="2" bestFit="1" customWidth="1"/>
    <col min="2" max="2" width="6" bestFit="1" customWidth="1"/>
    <col min="3" max="3" width="7.25" bestFit="1" customWidth="1"/>
    <col min="4" max="4" width="10.375" bestFit="1" customWidth="1"/>
    <col min="5" max="5" width="9.625" bestFit="1" customWidth="1"/>
    <col min="6" max="6" width="13.5" bestFit="1" customWidth="1"/>
    <col min="7" max="7" width="15.125" bestFit="1" customWidth="1"/>
    <col min="8" max="8" width="10.625" bestFit="1" customWidth="1"/>
    <col min="9" max="9" width="9.375" bestFit="1" customWidth="1"/>
    <col min="10" max="10" width="11.25" bestFit="1" customWidth="1"/>
    <col min="11" max="11" width="11.5" bestFit="1" customWidth="1"/>
    <col min="12" max="12" width="12.875" bestFit="1" customWidth="1"/>
    <col min="13" max="13" width="8.25" bestFit="1" customWidth="1"/>
    <col min="14" max="14" width="10.25" bestFit="1" customWidth="1"/>
    <col min="15" max="15" width="17.125" bestFit="1" customWidth="1"/>
    <col min="16" max="16" width="11.625" bestFit="1" customWidth="1"/>
    <col min="17" max="17" width="7.125" bestFit="1" customWidth="1"/>
    <col min="18" max="18" width="13.625" bestFit="1" customWidth="1"/>
    <col min="19" max="19" width="11.375" bestFit="1" customWidth="1"/>
  </cols>
  <sheetData>
    <row r="1" spans="1:19">
      <c r="A1" s="1" t="s">
        <v>0</v>
      </c>
      <c r="B1" s="1" t="s">
        <v>63</v>
      </c>
      <c r="C1" s="1" t="s">
        <v>1</v>
      </c>
      <c r="D1" s="1" t="s">
        <v>185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239</v>
      </c>
      <c r="B2" s="1" t="s">
        <v>60</v>
      </c>
      <c r="C2" s="1"/>
      <c r="D2" s="1"/>
      <c r="E2" s="1"/>
      <c r="F2" s="1" t="s">
        <v>223</v>
      </c>
      <c r="G2" s="1" t="s">
        <v>129</v>
      </c>
      <c r="H2" s="1"/>
      <c r="I2" s="1" t="s">
        <v>143</v>
      </c>
      <c r="J2" s="1" t="str">
        <f t="shared" ref="J2:J20" si="0">_xlfn.CONCAT(K2,L2,".",M2,IF(ISBLANK(N2),"",_xlfn.CONCAT(".",N2)))</f>
        <v>DB1002.0.0</v>
      </c>
      <c r="K2" s="1" t="s">
        <v>18</v>
      </c>
      <c r="L2" s="1">
        <v>1002</v>
      </c>
      <c r="M2" s="1">
        <v>0</v>
      </c>
      <c r="N2" s="1">
        <v>0</v>
      </c>
      <c r="O2" s="1">
        <v>1</v>
      </c>
      <c r="P2" s="1" t="s">
        <v>19</v>
      </c>
      <c r="Q2" s="1"/>
      <c r="R2" s="1" t="s">
        <v>20</v>
      </c>
      <c r="S2" s="1" t="s">
        <v>21</v>
      </c>
    </row>
    <row r="3" spans="1:19">
      <c r="A3" s="1" t="s">
        <v>235</v>
      </c>
      <c r="B3" s="1" t="s">
        <v>60</v>
      </c>
      <c r="C3" s="1"/>
      <c r="D3" s="1"/>
      <c r="E3" s="1"/>
      <c r="F3" s="1" t="s">
        <v>139</v>
      </c>
      <c r="G3" s="1" t="s">
        <v>130</v>
      </c>
      <c r="H3" s="1"/>
      <c r="I3" s="1" t="s">
        <v>143</v>
      </c>
      <c r="J3" s="1" t="str">
        <f t="shared" si="0"/>
        <v>DB1002.0.1</v>
      </c>
      <c r="K3" s="1" t="s">
        <v>18</v>
      </c>
      <c r="L3" s="1">
        <v>1002</v>
      </c>
      <c r="M3" s="1">
        <v>0</v>
      </c>
      <c r="N3" s="1">
        <v>1</v>
      </c>
      <c r="O3" s="1">
        <v>1</v>
      </c>
      <c r="P3" s="1" t="s">
        <v>19</v>
      </c>
      <c r="Q3" s="1"/>
      <c r="R3" s="1" t="s">
        <v>20</v>
      </c>
      <c r="S3" s="1" t="s">
        <v>21</v>
      </c>
    </row>
    <row r="4" spans="1:19">
      <c r="A4" s="1" t="s">
        <v>236</v>
      </c>
      <c r="B4" s="1" t="s">
        <v>60</v>
      </c>
      <c r="C4" s="1"/>
      <c r="D4" s="1"/>
      <c r="E4" s="1"/>
      <c r="F4" s="1" t="s">
        <v>142</v>
      </c>
      <c r="G4" s="1" t="s">
        <v>131</v>
      </c>
      <c r="H4" s="1"/>
      <c r="I4" s="1" t="s">
        <v>143</v>
      </c>
      <c r="J4" s="1" t="str">
        <f t="shared" si="0"/>
        <v>DB1002.0.2</v>
      </c>
      <c r="K4" s="1" t="s">
        <v>18</v>
      </c>
      <c r="L4" s="1">
        <v>1002</v>
      </c>
      <c r="M4" s="1">
        <v>0</v>
      </c>
      <c r="N4" s="1">
        <v>2</v>
      </c>
      <c r="O4" s="1">
        <v>1</v>
      </c>
      <c r="P4" s="1" t="s">
        <v>19</v>
      </c>
      <c r="Q4" s="1"/>
      <c r="R4" s="1" t="s">
        <v>20</v>
      </c>
      <c r="S4" s="1" t="s">
        <v>21</v>
      </c>
    </row>
    <row r="5" spans="1:19">
      <c r="A5" s="1" t="s">
        <v>237</v>
      </c>
      <c r="B5" s="1" t="s">
        <v>60</v>
      </c>
      <c r="C5" s="1"/>
      <c r="D5" s="1"/>
      <c r="E5" s="1"/>
      <c r="F5" s="1" t="s">
        <v>140</v>
      </c>
      <c r="G5" s="1" t="s">
        <v>132</v>
      </c>
      <c r="H5" s="1"/>
      <c r="I5" s="1" t="s">
        <v>143</v>
      </c>
      <c r="J5" s="1" t="str">
        <f t="shared" si="0"/>
        <v>DB1002.0.3</v>
      </c>
      <c r="K5" s="1" t="s">
        <v>18</v>
      </c>
      <c r="L5" s="1">
        <v>1002</v>
      </c>
      <c r="M5" s="1">
        <v>0</v>
      </c>
      <c r="N5" s="1">
        <v>3</v>
      </c>
      <c r="O5" s="1">
        <v>1</v>
      </c>
      <c r="P5" s="1" t="s">
        <v>19</v>
      </c>
      <c r="Q5" s="1"/>
      <c r="R5" s="1" t="s">
        <v>20</v>
      </c>
      <c r="S5" s="1" t="s">
        <v>21</v>
      </c>
    </row>
    <row r="6" spans="1:19">
      <c r="A6" s="1" t="s">
        <v>186</v>
      </c>
      <c r="B6" s="1"/>
      <c r="C6" s="1"/>
      <c r="D6" s="1" t="s">
        <v>76</v>
      </c>
      <c r="E6" s="1" t="s">
        <v>24</v>
      </c>
      <c r="F6" s="4" t="s">
        <v>50</v>
      </c>
      <c r="G6" s="1" t="s">
        <v>40</v>
      </c>
      <c r="H6" s="1"/>
      <c r="I6" s="4" t="s">
        <v>65</v>
      </c>
      <c r="J6" s="1" t="str">
        <f t="shared" si="0"/>
        <v>DB1002.2</v>
      </c>
      <c r="K6" s="1" t="s">
        <v>18</v>
      </c>
      <c r="L6" s="1">
        <v>1002</v>
      </c>
      <c r="M6" s="1">
        <v>2</v>
      </c>
      <c r="N6" s="1"/>
      <c r="O6" s="1">
        <v>1</v>
      </c>
      <c r="P6" s="1" t="s">
        <v>19</v>
      </c>
      <c r="Q6" s="1" t="str">
        <f t="shared" ref="Q6:Q20" si="1">IF(I6="STRING",64,"")</f>
        <v/>
      </c>
      <c r="R6" s="1" t="s">
        <v>20</v>
      </c>
      <c r="S6" s="1" t="s">
        <v>21</v>
      </c>
    </row>
    <row r="7" spans="1:19">
      <c r="A7" s="1" t="s">
        <v>187</v>
      </c>
      <c r="B7" s="1"/>
      <c r="C7" s="1"/>
      <c r="D7" s="1" t="s">
        <v>76</v>
      </c>
      <c r="E7" s="1" t="s">
        <v>24</v>
      </c>
      <c r="F7" s="1" t="s">
        <v>22</v>
      </c>
      <c r="G7" s="1" t="s">
        <v>41</v>
      </c>
      <c r="H7" s="1"/>
      <c r="I7" s="4" t="s">
        <v>65</v>
      </c>
      <c r="J7" s="1" t="str">
        <f t="shared" si="0"/>
        <v>DB1002.4</v>
      </c>
      <c r="K7" s="1" t="s">
        <v>18</v>
      </c>
      <c r="L7" s="1">
        <v>1002</v>
      </c>
      <c r="M7" s="1">
        <v>4</v>
      </c>
      <c r="N7" s="1"/>
      <c r="O7" s="1">
        <v>1</v>
      </c>
      <c r="P7" s="1" t="s">
        <v>19</v>
      </c>
      <c r="Q7" s="1" t="str">
        <f t="shared" si="1"/>
        <v/>
      </c>
      <c r="R7" s="1" t="s">
        <v>20</v>
      </c>
      <c r="S7" s="1" t="s">
        <v>21</v>
      </c>
    </row>
    <row r="8" spans="1:19">
      <c r="A8" s="1" t="s">
        <v>188</v>
      </c>
      <c r="B8" s="1"/>
      <c r="C8" s="1"/>
      <c r="D8" s="1" t="s">
        <v>76</v>
      </c>
      <c r="E8" s="1" t="s">
        <v>24</v>
      </c>
      <c r="F8" s="1" t="s">
        <v>23</v>
      </c>
      <c r="G8" s="1" t="s">
        <v>42</v>
      </c>
      <c r="H8" s="1"/>
      <c r="I8" s="4" t="s">
        <v>46</v>
      </c>
      <c r="J8" s="1" t="str">
        <f t="shared" si="0"/>
        <v>DB1002.6</v>
      </c>
      <c r="K8" s="1" t="s">
        <v>18</v>
      </c>
      <c r="L8" s="1">
        <v>1002</v>
      </c>
      <c r="M8" s="1">
        <v>6</v>
      </c>
      <c r="N8" s="1"/>
      <c r="O8" s="1">
        <v>1</v>
      </c>
      <c r="P8" s="1" t="s">
        <v>19</v>
      </c>
      <c r="Q8" s="1">
        <v>32</v>
      </c>
      <c r="R8" s="1" t="s">
        <v>20</v>
      </c>
      <c r="S8" s="1" t="s">
        <v>21</v>
      </c>
    </row>
    <row r="9" spans="1:19">
      <c r="A9" s="1" t="s">
        <v>189</v>
      </c>
      <c r="B9" s="1"/>
      <c r="C9" s="1"/>
      <c r="D9" s="1" t="s">
        <v>61</v>
      </c>
      <c r="E9" s="4" t="s">
        <v>52</v>
      </c>
      <c r="F9" s="4" t="s">
        <v>50</v>
      </c>
      <c r="G9" s="1" t="s">
        <v>43</v>
      </c>
      <c r="H9" s="1"/>
      <c r="I9" s="4" t="s">
        <v>65</v>
      </c>
      <c r="J9" s="1" t="str">
        <f t="shared" si="0"/>
        <v>DB1002.40</v>
      </c>
      <c r="K9" s="1" t="s">
        <v>18</v>
      </c>
      <c r="L9" s="1">
        <v>1002</v>
      </c>
      <c r="M9" s="1">
        <v>40</v>
      </c>
      <c r="N9" s="1"/>
      <c r="O9" s="1">
        <v>1</v>
      </c>
      <c r="P9" s="1" t="s">
        <v>19</v>
      </c>
      <c r="Q9" s="1" t="str">
        <f t="shared" si="1"/>
        <v/>
      </c>
      <c r="R9" s="1" t="s">
        <v>20</v>
      </c>
      <c r="S9" s="1" t="s">
        <v>21</v>
      </c>
    </row>
    <row r="10" spans="1:19">
      <c r="A10" s="1" t="s">
        <v>190</v>
      </c>
      <c r="B10" s="1"/>
      <c r="C10" s="1"/>
      <c r="D10" s="1" t="s">
        <v>61</v>
      </c>
      <c r="E10" s="4" t="s">
        <v>52</v>
      </c>
      <c r="F10" s="1" t="s">
        <v>22</v>
      </c>
      <c r="G10" s="1" t="s">
        <v>41</v>
      </c>
      <c r="H10" s="1"/>
      <c r="I10" s="4" t="s">
        <v>65</v>
      </c>
      <c r="J10" s="1" t="str">
        <f t="shared" si="0"/>
        <v>DB1002.42</v>
      </c>
      <c r="K10" s="1" t="s">
        <v>18</v>
      </c>
      <c r="L10" s="1">
        <v>1002</v>
      </c>
      <c r="M10" s="1">
        <v>42</v>
      </c>
      <c r="N10" s="1"/>
      <c r="O10" s="1">
        <v>1</v>
      </c>
      <c r="P10" s="1" t="s">
        <v>19</v>
      </c>
      <c r="Q10" s="1" t="str">
        <f t="shared" si="1"/>
        <v/>
      </c>
      <c r="R10" s="1" t="s">
        <v>20</v>
      </c>
      <c r="S10" s="1" t="s">
        <v>21</v>
      </c>
    </row>
    <row r="11" spans="1:19">
      <c r="A11" s="1" t="s">
        <v>191</v>
      </c>
      <c r="B11" s="1"/>
      <c r="C11" s="1"/>
      <c r="D11" s="1" t="s">
        <v>61</v>
      </c>
      <c r="E11" s="4" t="s">
        <v>52</v>
      </c>
      <c r="F11" s="1" t="s">
        <v>23</v>
      </c>
      <c r="G11" s="1" t="s">
        <v>44</v>
      </c>
      <c r="H11" s="1"/>
      <c r="I11" s="4" t="s">
        <v>46</v>
      </c>
      <c r="J11" s="1" t="str">
        <f t="shared" si="0"/>
        <v>DB1002.44</v>
      </c>
      <c r="K11" s="1" t="s">
        <v>18</v>
      </c>
      <c r="L11" s="1">
        <v>1002</v>
      </c>
      <c r="M11" s="1">
        <v>44</v>
      </c>
      <c r="N11" s="1"/>
      <c r="O11" s="1">
        <v>1</v>
      </c>
      <c r="P11" s="1" t="s">
        <v>19</v>
      </c>
      <c r="Q11" s="1">
        <v>32</v>
      </c>
      <c r="R11" s="1" t="s">
        <v>20</v>
      </c>
      <c r="S11" s="1" t="s">
        <v>21</v>
      </c>
    </row>
    <row r="12" spans="1:19">
      <c r="A12" s="1" t="s">
        <v>192</v>
      </c>
      <c r="B12" s="1"/>
      <c r="C12" s="1"/>
      <c r="D12" s="1" t="s">
        <v>61</v>
      </c>
      <c r="E12" s="4" t="s">
        <v>52</v>
      </c>
      <c r="F12" s="4" t="s">
        <v>51</v>
      </c>
      <c r="G12" s="1" t="s">
        <v>45</v>
      </c>
      <c r="H12" s="1"/>
      <c r="I12" s="4" t="s">
        <v>65</v>
      </c>
      <c r="J12" s="1" t="str">
        <f t="shared" si="0"/>
        <v>DB1002.78</v>
      </c>
      <c r="K12" s="1" t="s">
        <v>18</v>
      </c>
      <c r="L12" s="1">
        <v>1002</v>
      </c>
      <c r="M12" s="1">
        <v>78</v>
      </c>
      <c r="N12" s="1"/>
      <c r="O12" s="1">
        <v>1</v>
      </c>
      <c r="P12" s="1" t="s">
        <v>19</v>
      </c>
      <c r="Q12" s="1" t="str">
        <f t="shared" si="1"/>
        <v/>
      </c>
      <c r="R12" s="1" t="s">
        <v>20</v>
      </c>
      <c r="S12" s="1" t="s">
        <v>21</v>
      </c>
    </row>
    <row r="13" spans="1:19">
      <c r="A13" s="1" t="s">
        <v>224</v>
      </c>
      <c r="B13" s="1"/>
      <c r="C13" s="1"/>
      <c r="D13" s="1" t="s">
        <v>62</v>
      </c>
      <c r="E13" s="4" t="s">
        <v>53</v>
      </c>
      <c r="F13" s="1" t="s">
        <v>22</v>
      </c>
      <c r="G13" s="4" t="s">
        <v>47</v>
      </c>
      <c r="H13" s="1"/>
      <c r="I13" s="4" t="s">
        <v>65</v>
      </c>
      <c r="J13" s="1" t="str">
        <f t="shared" si="0"/>
        <v>DB1002.80</v>
      </c>
      <c r="K13" s="1" t="s">
        <v>18</v>
      </c>
      <c r="L13" s="1">
        <v>1002</v>
      </c>
      <c r="M13" s="1">
        <v>80</v>
      </c>
      <c r="N13" s="1"/>
      <c r="O13" s="1">
        <v>1</v>
      </c>
      <c r="P13" s="1" t="s">
        <v>19</v>
      </c>
      <c r="Q13" s="1" t="str">
        <f t="shared" si="1"/>
        <v/>
      </c>
      <c r="R13" s="1" t="s">
        <v>20</v>
      </c>
      <c r="S13" s="1" t="s">
        <v>21</v>
      </c>
    </row>
    <row r="14" spans="1:19">
      <c r="A14" s="1" t="s">
        <v>225</v>
      </c>
      <c r="B14" s="1"/>
      <c r="C14" s="1"/>
      <c r="D14" s="1" t="s">
        <v>62</v>
      </c>
      <c r="E14" s="4" t="s">
        <v>53</v>
      </c>
      <c r="F14" s="1" t="s">
        <v>23</v>
      </c>
      <c r="G14" s="4" t="s">
        <v>48</v>
      </c>
      <c r="H14" s="1"/>
      <c r="I14" s="4" t="s">
        <v>46</v>
      </c>
      <c r="J14" s="1" t="str">
        <f t="shared" si="0"/>
        <v>DB1002.82</v>
      </c>
      <c r="K14" s="1" t="s">
        <v>18</v>
      </c>
      <c r="L14" s="1">
        <v>1002</v>
      </c>
      <c r="M14" s="1">
        <v>82</v>
      </c>
      <c r="N14" s="1"/>
      <c r="O14" s="1">
        <v>1</v>
      </c>
      <c r="P14" s="1" t="s">
        <v>19</v>
      </c>
      <c r="Q14" s="1">
        <v>32</v>
      </c>
      <c r="R14" s="1" t="s">
        <v>20</v>
      </c>
      <c r="S14" s="1" t="s">
        <v>21</v>
      </c>
    </row>
    <row r="15" spans="1:19">
      <c r="A15" s="1" t="s">
        <v>226</v>
      </c>
      <c r="B15" s="1"/>
      <c r="C15" s="1"/>
      <c r="D15" s="1" t="s">
        <v>62</v>
      </c>
      <c r="E15" s="4" t="s">
        <v>53</v>
      </c>
      <c r="F15" s="1" t="s">
        <v>71</v>
      </c>
      <c r="G15" s="4" t="s">
        <v>73</v>
      </c>
      <c r="H15" s="1"/>
      <c r="I15" s="4" t="s">
        <v>46</v>
      </c>
      <c r="J15" s="1" t="str">
        <f t="shared" si="0"/>
        <v>DB1002.116</v>
      </c>
      <c r="K15" s="1" t="s">
        <v>18</v>
      </c>
      <c r="L15" s="1">
        <v>1002</v>
      </c>
      <c r="M15" s="1">
        <v>116</v>
      </c>
      <c r="N15" s="1"/>
      <c r="O15" s="1">
        <v>1</v>
      </c>
      <c r="P15" s="1" t="s">
        <v>19</v>
      </c>
      <c r="Q15" s="1">
        <v>32</v>
      </c>
      <c r="R15" s="1" t="s">
        <v>20</v>
      </c>
      <c r="S15" s="1" t="s">
        <v>21</v>
      </c>
    </row>
    <row r="16" spans="1:19">
      <c r="A16" s="1" t="s">
        <v>240</v>
      </c>
      <c r="B16" s="1" t="s">
        <v>60</v>
      </c>
      <c r="C16" s="1"/>
      <c r="D16" s="1"/>
      <c r="E16" s="1"/>
      <c r="F16" s="1" t="s">
        <v>223</v>
      </c>
      <c r="G16" s="1" t="s">
        <v>129</v>
      </c>
      <c r="H16" s="1"/>
      <c r="I16" s="1" t="s">
        <v>143</v>
      </c>
      <c r="J16" s="1" t="str">
        <f t="shared" si="0"/>
        <v>DB1001.0.0</v>
      </c>
      <c r="K16" s="1" t="s">
        <v>18</v>
      </c>
      <c r="L16" s="1">
        <v>1001</v>
      </c>
      <c r="M16" s="1">
        <v>0</v>
      </c>
      <c r="N16" s="1">
        <v>0</v>
      </c>
      <c r="O16" s="1">
        <v>1</v>
      </c>
      <c r="P16" s="1" t="s">
        <v>149</v>
      </c>
      <c r="Q16" s="1"/>
      <c r="R16" s="1" t="s">
        <v>20</v>
      </c>
      <c r="S16" s="1" t="s">
        <v>21</v>
      </c>
    </row>
    <row r="17" spans="1:19">
      <c r="A17" s="1" t="s">
        <v>227</v>
      </c>
      <c r="B17" s="1"/>
      <c r="C17" s="4"/>
      <c r="D17" s="1" t="s">
        <v>76</v>
      </c>
      <c r="E17" s="1" t="s">
        <v>24</v>
      </c>
      <c r="F17" s="4" t="s">
        <v>69</v>
      </c>
      <c r="G17" s="4" t="s">
        <v>49</v>
      </c>
      <c r="H17" s="1"/>
      <c r="I17" s="4" t="s">
        <v>65</v>
      </c>
      <c r="J17" s="1" t="str">
        <f t="shared" si="0"/>
        <v>DB1001.2</v>
      </c>
      <c r="K17" s="1" t="s">
        <v>18</v>
      </c>
      <c r="L17" s="1">
        <v>1001</v>
      </c>
      <c r="M17" s="1">
        <v>2</v>
      </c>
      <c r="N17" s="1"/>
      <c r="O17" s="1">
        <v>2</v>
      </c>
      <c r="P17" s="1" t="s">
        <v>25</v>
      </c>
      <c r="Q17" s="1" t="str">
        <f t="shared" si="1"/>
        <v/>
      </c>
      <c r="R17" s="1" t="s">
        <v>20</v>
      </c>
      <c r="S17" s="1" t="s">
        <v>21</v>
      </c>
    </row>
    <row r="18" spans="1:19">
      <c r="A18" s="1" t="s">
        <v>228</v>
      </c>
      <c r="B18" s="1"/>
      <c r="C18" s="4"/>
      <c r="D18" s="1" t="s">
        <v>61</v>
      </c>
      <c r="E18" s="4" t="s">
        <v>52</v>
      </c>
      <c r="F18" s="4" t="s">
        <v>69</v>
      </c>
      <c r="G18" s="4" t="s">
        <v>54</v>
      </c>
      <c r="H18" s="1"/>
      <c r="I18" s="4" t="s">
        <v>65</v>
      </c>
      <c r="J18" s="1" t="str">
        <f t="shared" si="0"/>
        <v>DB1001.4</v>
      </c>
      <c r="K18" s="1" t="s">
        <v>18</v>
      </c>
      <c r="L18" s="1">
        <v>1001</v>
      </c>
      <c r="M18" s="1">
        <v>4</v>
      </c>
      <c r="N18" s="1"/>
      <c r="O18" s="1">
        <v>2</v>
      </c>
      <c r="P18" s="1" t="s">
        <v>25</v>
      </c>
      <c r="Q18" s="1" t="str">
        <f t="shared" si="1"/>
        <v/>
      </c>
      <c r="R18" s="1" t="s">
        <v>20</v>
      </c>
      <c r="S18" s="1" t="s">
        <v>21</v>
      </c>
    </row>
    <row r="19" spans="1:19">
      <c r="A19" s="1" t="s">
        <v>229</v>
      </c>
      <c r="B19" s="1"/>
      <c r="C19" s="4"/>
      <c r="D19" s="1" t="s">
        <v>61</v>
      </c>
      <c r="E19" s="4" t="s">
        <v>52</v>
      </c>
      <c r="F19" s="4" t="s">
        <v>57</v>
      </c>
      <c r="G19" s="4" t="s">
        <v>56</v>
      </c>
      <c r="H19" s="1"/>
      <c r="I19" s="4" t="s">
        <v>65</v>
      </c>
      <c r="J19" s="1" t="str">
        <f t="shared" si="0"/>
        <v>DB1001.6</v>
      </c>
      <c r="K19" s="1" t="s">
        <v>18</v>
      </c>
      <c r="L19" s="1">
        <v>1001</v>
      </c>
      <c r="M19" s="1">
        <v>6</v>
      </c>
      <c r="N19" s="1"/>
      <c r="O19" s="1">
        <v>2</v>
      </c>
      <c r="P19" s="1" t="s">
        <v>25</v>
      </c>
      <c r="Q19" s="1" t="str">
        <f t="shared" si="1"/>
        <v/>
      </c>
      <c r="R19" s="1" t="s">
        <v>20</v>
      </c>
      <c r="S19" s="1" t="s">
        <v>21</v>
      </c>
    </row>
    <row r="20" spans="1:19">
      <c r="A20" s="1" t="s">
        <v>230</v>
      </c>
      <c r="B20" s="1"/>
      <c r="C20" s="1"/>
      <c r="D20" s="1" t="s">
        <v>62</v>
      </c>
      <c r="E20" s="4" t="s">
        <v>53</v>
      </c>
      <c r="F20" s="4" t="s">
        <v>69</v>
      </c>
      <c r="G20" s="4" t="s">
        <v>55</v>
      </c>
      <c r="H20" s="1"/>
      <c r="I20" s="4" t="s">
        <v>65</v>
      </c>
      <c r="J20" s="1" t="str">
        <f t="shared" si="0"/>
        <v>DB1001.8</v>
      </c>
      <c r="K20" s="1" t="s">
        <v>18</v>
      </c>
      <c r="L20" s="1">
        <v>1001</v>
      </c>
      <c r="M20" s="1">
        <v>8</v>
      </c>
      <c r="N20" s="1"/>
      <c r="O20" s="1">
        <v>2</v>
      </c>
      <c r="P20" s="1" t="s">
        <v>25</v>
      </c>
      <c r="Q20" s="1" t="str">
        <f t="shared" si="1"/>
        <v/>
      </c>
      <c r="R20" s="1" t="s">
        <v>20</v>
      </c>
      <c r="S20" s="1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A2" sqref="A2:A20"/>
    </sheetView>
  </sheetViews>
  <sheetFormatPr defaultColWidth="28.125" defaultRowHeight="14.25"/>
  <cols>
    <col min="1" max="1" width="28.75" style="1" bestFit="1" customWidth="1"/>
    <col min="2" max="2" width="13.875" style="1" bestFit="1" customWidth="1"/>
    <col min="3" max="3" width="8.125" style="1" bestFit="1" customWidth="1"/>
    <col min="4" max="4" width="8.75" style="1" bestFit="1" customWidth="1"/>
    <col min="5" max="5" width="15.875" style="1" bestFit="1" customWidth="1"/>
    <col min="6" max="6" width="8.5" style="1" bestFit="1" customWidth="1"/>
    <col min="7" max="7" width="15.25" style="1" bestFit="1" customWidth="1"/>
    <col min="8" max="16384" width="28.125" style="1"/>
  </cols>
  <sheetData>
    <row r="1" spans="1:7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</v>
      </c>
    </row>
    <row r="2" spans="1:7">
      <c r="A2" s="1" t="s">
        <v>239</v>
      </c>
      <c r="B2" s="1" t="s">
        <v>223</v>
      </c>
      <c r="D2" s="1" t="s">
        <v>31</v>
      </c>
      <c r="G2" s="1" t="s">
        <v>234</v>
      </c>
    </row>
    <row r="3" spans="1:7">
      <c r="A3" s="1" t="s">
        <v>235</v>
      </c>
      <c r="B3" s="1" t="s">
        <v>138</v>
      </c>
      <c r="D3" s="1" t="s">
        <v>31</v>
      </c>
      <c r="G3" s="1" t="s">
        <v>234</v>
      </c>
    </row>
    <row r="4" spans="1:7">
      <c r="A4" s="1" t="s">
        <v>236</v>
      </c>
      <c r="B4" s="1" t="s">
        <v>141</v>
      </c>
      <c r="D4" s="1" t="s">
        <v>31</v>
      </c>
      <c r="G4" s="1" t="s">
        <v>234</v>
      </c>
    </row>
    <row r="5" spans="1:7">
      <c r="A5" s="1" t="s">
        <v>237</v>
      </c>
      <c r="B5" s="1" t="s">
        <v>50</v>
      </c>
      <c r="D5" s="1" t="s">
        <v>31</v>
      </c>
      <c r="G5" s="1" t="s">
        <v>234</v>
      </c>
    </row>
    <row r="6" spans="1:7">
      <c r="A6" s="1" t="s">
        <v>186</v>
      </c>
      <c r="B6" s="1" t="s">
        <v>50</v>
      </c>
      <c r="D6" s="1" t="s">
        <v>31</v>
      </c>
      <c r="E6" s="3"/>
      <c r="G6" s="1" t="s">
        <v>150</v>
      </c>
    </row>
    <row r="7" spans="1:7">
      <c r="A7" s="1" t="s">
        <v>187</v>
      </c>
      <c r="B7" s="1" t="s">
        <v>32</v>
      </c>
      <c r="D7" s="1" t="s">
        <v>31</v>
      </c>
      <c r="E7" s="5" t="s">
        <v>58</v>
      </c>
      <c r="G7" s="1" t="s">
        <v>150</v>
      </c>
    </row>
    <row r="8" spans="1:7">
      <c r="A8" s="1" t="s">
        <v>188</v>
      </c>
      <c r="B8" s="4" t="s">
        <v>67</v>
      </c>
      <c r="D8" s="1" t="s">
        <v>31</v>
      </c>
      <c r="E8" s="3"/>
      <c r="G8" s="1" t="s">
        <v>150</v>
      </c>
    </row>
    <row r="9" spans="1:7">
      <c r="A9" s="1" t="s">
        <v>189</v>
      </c>
      <c r="B9" s="1" t="s">
        <v>50</v>
      </c>
      <c r="D9" s="1" t="s">
        <v>31</v>
      </c>
      <c r="G9" s="1" t="s">
        <v>33</v>
      </c>
    </row>
    <row r="10" spans="1:7">
      <c r="A10" s="1" t="s">
        <v>190</v>
      </c>
      <c r="B10" s="1" t="s">
        <v>32</v>
      </c>
      <c r="D10" s="1" t="s">
        <v>31</v>
      </c>
      <c r="E10" s="5" t="s">
        <v>58</v>
      </c>
      <c r="G10" s="1" t="s">
        <v>33</v>
      </c>
    </row>
    <row r="11" spans="1:7">
      <c r="A11" s="1" t="s">
        <v>191</v>
      </c>
      <c r="B11" s="4" t="s">
        <v>67</v>
      </c>
      <c r="D11" s="1" t="s">
        <v>31</v>
      </c>
      <c r="G11" s="1" t="s">
        <v>33</v>
      </c>
    </row>
    <row r="12" spans="1:7">
      <c r="A12" s="1" t="s">
        <v>192</v>
      </c>
      <c r="B12" s="1" t="s">
        <v>51</v>
      </c>
      <c r="D12" s="1" t="s">
        <v>31</v>
      </c>
      <c r="G12" s="1" t="s">
        <v>33</v>
      </c>
    </row>
    <row r="13" spans="1:7">
      <c r="A13" s="1" t="s">
        <v>224</v>
      </c>
      <c r="B13" s="4" t="s">
        <v>68</v>
      </c>
      <c r="D13" s="1" t="s">
        <v>31</v>
      </c>
      <c r="E13" s="5" t="s">
        <v>58</v>
      </c>
      <c r="G13" s="1" t="s">
        <v>64</v>
      </c>
    </row>
    <row r="14" spans="1:7">
      <c r="A14" s="1" t="s">
        <v>225</v>
      </c>
      <c r="B14" s="4" t="s">
        <v>67</v>
      </c>
      <c r="D14" s="1" t="s">
        <v>31</v>
      </c>
      <c r="G14" s="1" t="s">
        <v>64</v>
      </c>
    </row>
    <row r="15" spans="1:7">
      <c r="A15" s="1" t="s">
        <v>226</v>
      </c>
      <c r="B15" s="1" t="s">
        <v>71</v>
      </c>
      <c r="D15" s="1" t="s">
        <v>31</v>
      </c>
      <c r="G15" s="1" t="s">
        <v>64</v>
      </c>
    </row>
    <row r="16" spans="1:7">
      <c r="A16" s="1" t="s">
        <v>240</v>
      </c>
      <c r="B16" s="1" t="s">
        <v>223</v>
      </c>
      <c r="D16" s="1" t="s">
        <v>34</v>
      </c>
      <c r="G16" s="1" t="s">
        <v>234</v>
      </c>
    </row>
    <row r="17" spans="1:7">
      <c r="A17" s="1" t="s">
        <v>227</v>
      </c>
      <c r="B17" s="1" t="s">
        <v>69</v>
      </c>
      <c r="D17" s="1" t="s">
        <v>34</v>
      </c>
      <c r="G17" s="1" t="s">
        <v>150</v>
      </c>
    </row>
    <row r="18" spans="1:7">
      <c r="A18" s="1" t="s">
        <v>228</v>
      </c>
      <c r="B18" s="1" t="s">
        <v>69</v>
      </c>
      <c r="D18" s="1" t="s">
        <v>34</v>
      </c>
      <c r="G18" s="1" t="s">
        <v>33</v>
      </c>
    </row>
    <row r="19" spans="1:7">
      <c r="A19" s="1" t="s">
        <v>229</v>
      </c>
      <c r="B19" s="1" t="s">
        <v>57</v>
      </c>
      <c r="D19" s="1" t="s">
        <v>34</v>
      </c>
      <c r="G19" s="1" t="s">
        <v>33</v>
      </c>
    </row>
    <row r="20" spans="1:7">
      <c r="A20" s="1" t="s">
        <v>230</v>
      </c>
      <c r="B20" s="1" t="s">
        <v>69</v>
      </c>
      <c r="D20" s="1" t="s">
        <v>34</v>
      </c>
      <c r="G20" s="1" t="s">
        <v>64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workbookViewId="0">
      <pane xSplit="1" topLeftCell="B1" activePane="topRight" state="frozen"/>
      <selection pane="topRight" sqref="A1:XFD1048576"/>
    </sheetView>
  </sheetViews>
  <sheetFormatPr defaultColWidth="5.875" defaultRowHeight="14.25"/>
  <cols>
    <col min="1" max="1" width="6.625" style="1" bestFit="1" customWidth="1"/>
    <col min="2" max="2" width="11.875" style="1" bestFit="1" customWidth="1"/>
    <col min="3" max="3" width="8.625" style="1" bestFit="1" customWidth="1"/>
    <col min="4" max="4" width="11" style="1" bestFit="1" customWidth="1"/>
    <col min="5" max="5" width="14.375" style="1" bestFit="1" customWidth="1"/>
    <col min="6" max="6" width="8.625" style="1" bestFit="1" customWidth="1"/>
    <col min="7" max="7" width="13.625" style="1" bestFit="1" customWidth="1"/>
    <col min="8" max="8" width="10.25" style="1" bestFit="1" customWidth="1"/>
    <col min="9" max="9" width="8.75" style="1" bestFit="1" customWidth="1"/>
    <col min="10" max="10" width="7.5" style="1" bestFit="1" customWidth="1"/>
    <col min="11" max="11" width="9.875" style="1" bestFit="1" customWidth="1"/>
    <col min="12" max="16384" width="5.875" style="1"/>
  </cols>
  <sheetData>
    <row r="1" spans="1:11">
      <c r="A1" s="4" t="s">
        <v>23</v>
      </c>
      <c r="B1" s="4" t="s">
        <v>270</v>
      </c>
      <c r="C1" s="1" t="s">
        <v>265</v>
      </c>
      <c r="D1" s="4" t="s">
        <v>266</v>
      </c>
      <c r="E1" s="1" t="s">
        <v>2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66</v>
      </c>
    </row>
    <row r="2" spans="1:11">
      <c r="A2" s="1" t="s">
        <v>21</v>
      </c>
      <c r="B2" s="4" t="s">
        <v>252</v>
      </c>
      <c r="C2" s="1" t="s">
        <v>321</v>
      </c>
      <c r="D2" s="1" t="s">
        <v>287</v>
      </c>
      <c r="E2" s="1" t="s">
        <v>21</v>
      </c>
      <c r="F2" s="1" t="s">
        <v>322</v>
      </c>
      <c r="G2" s="1" t="s">
        <v>323</v>
      </c>
      <c r="I2" s="1">
        <v>0</v>
      </c>
      <c r="J2" s="1" t="b">
        <v>1</v>
      </c>
    </row>
    <row r="3" spans="1:11">
      <c r="A3" s="1" t="s">
        <v>278</v>
      </c>
      <c r="B3" s="4" t="s">
        <v>193</v>
      </c>
      <c r="C3" s="1" t="s">
        <v>321</v>
      </c>
      <c r="D3" s="1" t="s">
        <v>288</v>
      </c>
      <c r="E3" s="1" t="s">
        <v>278</v>
      </c>
      <c r="F3" s="1" t="s">
        <v>256</v>
      </c>
      <c r="G3" s="1" t="s">
        <v>324</v>
      </c>
      <c r="I3" s="1">
        <v>1</v>
      </c>
      <c r="J3" s="1" t="b">
        <v>1</v>
      </c>
    </row>
    <row r="4" spans="1:11">
      <c r="A4" s="1" t="s">
        <v>77</v>
      </c>
      <c r="B4" s="4" t="s">
        <v>196</v>
      </c>
      <c r="C4" s="1" t="s">
        <v>321</v>
      </c>
      <c r="D4" s="1" t="s">
        <v>289</v>
      </c>
      <c r="E4" s="1" t="s">
        <v>77</v>
      </c>
      <c r="F4" s="1" t="s">
        <v>81</v>
      </c>
      <c r="G4" s="1" t="s">
        <v>324</v>
      </c>
      <c r="I4" s="1">
        <v>2</v>
      </c>
      <c r="J4" s="1" t="b">
        <v>1</v>
      </c>
    </row>
    <row r="5" spans="1:11">
      <c r="A5" s="1" t="s">
        <v>78</v>
      </c>
      <c r="B5" s="4" t="s">
        <v>197</v>
      </c>
      <c r="C5" s="1" t="s">
        <v>321</v>
      </c>
      <c r="D5" s="1" t="s">
        <v>290</v>
      </c>
      <c r="E5" s="1" t="s">
        <v>78</v>
      </c>
      <c r="F5" s="1" t="s">
        <v>82</v>
      </c>
      <c r="G5" s="1" t="s">
        <v>324</v>
      </c>
      <c r="I5" s="1">
        <v>3</v>
      </c>
      <c r="J5" s="1" t="b">
        <v>1</v>
      </c>
    </row>
    <row r="6" spans="1:11">
      <c r="A6" s="1" t="s">
        <v>79</v>
      </c>
      <c r="B6" s="4" t="s">
        <v>198</v>
      </c>
      <c r="C6" s="1" t="s">
        <v>321</v>
      </c>
      <c r="D6" s="1" t="s">
        <v>291</v>
      </c>
      <c r="E6" s="1" t="s">
        <v>79</v>
      </c>
      <c r="F6" s="1" t="s">
        <v>83</v>
      </c>
      <c r="G6" s="1" t="s">
        <v>324</v>
      </c>
      <c r="I6" s="1">
        <v>4</v>
      </c>
      <c r="J6" s="1" t="b">
        <v>1</v>
      </c>
    </row>
    <row r="7" spans="1:11">
      <c r="A7" s="1" t="s">
        <v>88</v>
      </c>
      <c r="B7" s="4" t="s">
        <v>199</v>
      </c>
      <c r="C7" s="1" t="s">
        <v>321</v>
      </c>
      <c r="D7" s="1" t="s">
        <v>292</v>
      </c>
      <c r="E7" s="1" t="s">
        <v>88</v>
      </c>
      <c r="F7" s="1" t="s">
        <v>84</v>
      </c>
      <c r="G7" s="1" t="s">
        <v>324</v>
      </c>
      <c r="I7" s="1">
        <v>5</v>
      </c>
      <c r="J7" s="1" t="b">
        <v>1</v>
      </c>
    </row>
    <row r="8" spans="1:11">
      <c r="A8" s="1" t="s">
        <v>89</v>
      </c>
      <c r="B8" s="4" t="s">
        <v>200</v>
      </c>
      <c r="C8" s="1" t="s">
        <v>321</v>
      </c>
      <c r="D8" s="1" t="s">
        <v>293</v>
      </c>
      <c r="E8" s="1" t="s">
        <v>89</v>
      </c>
      <c r="F8" s="1" t="s">
        <v>85</v>
      </c>
      <c r="G8" s="1" t="s">
        <v>324</v>
      </c>
      <c r="I8" s="1">
        <v>6</v>
      </c>
      <c r="J8" s="1" t="b">
        <v>1</v>
      </c>
    </row>
    <row r="9" spans="1:11">
      <c r="A9" s="1" t="s">
        <v>90</v>
      </c>
      <c r="B9" s="4" t="s">
        <v>201</v>
      </c>
      <c r="C9" s="1" t="s">
        <v>321</v>
      </c>
      <c r="D9" s="1" t="s">
        <v>294</v>
      </c>
      <c r="E9" s="1" t="s">
        <v>90</v>
      </c>
      <c r="F9" s="1" t="s">
        <v>86</v>
      </c>
      <c r="G9" s="1" t="s">
        <v>324</v>
      </c>
      <c r="I9" s="1">
        <v>7</v>
      </c>
      <c r="J9" s="1" t="b">
        <v>1</v>
      </c>
    </row>
    <row r="10" spans="1:11">
      <c r="A10" s="1" t="s">
        <v>91</v>
      </c>
      <c r="B10" s="4" t="s">
        <v>202</v>
      </c>
      <c r="C10" s="1" t="s">
        <v>321</v>
      </c>
      <c r="D10" s="1" t="s">
        <v>295</v>
      </c>
      <c r="E10" s="1" t="s">
        <v>91</v>
      </c>
      <c r="F10" s="6" t="s">
        <v>87</v>
      </c>
      <c r="G10" s="1" t="s">
        <v>324</v>
      </c>
      <c r="I10" s="1">
        <v>8</v>
      </c>
      <c r="J10" s="1" t="b">
        <v>1</v>
      </c>
    </row>
    <row r="11" spans="1:11">
      <c r="A11" s="1" t="s">
        <v>279</v>
      </c>
      <c r="B11" s="4" t="s">
        <v>203</v>
      </c>
      <c r="C11" s="4" t="s">
        <v>321</v>
      </c>
      <c r="D11" s="4" t="s">
        <v>296</v>
      </c>
      <c r="E11" s="1" t="s">
        <v>279</v>
      </c>
      <c r="F11" s="4" t="s">
        <v>258</v>
      </c>
      <c r="G11" s="1" t="s">
        <v>123</v>
      </c>
      <c r="I11" s="1">
        <v>9</v>
      </c>
      <c r="J11" s="1" t="b">
        <v>1</v>
      </c>
    </row>
    <row r="12" spans="1:11">
      <c r="A12" s="1" t="s">
        <v>272</v>
      </c>
      <c r="B12" s="4" t="s">
        <v>325</v>
      </c>
      <c r="C12" s="4" t="s">
        <v>321</v>
      </c>
      <c r="D12" s="4" t="s">
        <v>297</v>
      </c>
      <c r="E12" s="1" t="s">
        <v>272</v>
      </c>
      <c r="F12" s="4" t="s">
        <v>259</v>
      </c>
      <c r="G12" s="1" t="s">
        <v>273</v>
      </c>
      <c r="I12" s="1">
        <v>10</v>
      </c>
      <c r="J12" s="1" t="b">
        <v>1</v>
      </c>
    </row>
    <row r="13" spans="1:11">
      <c r="A13" s="1" t="s">
        <v>280</v>
      </c>
      <c r="B13" s="4" t="s">
        <v>33</v>
      </c>
      <c r="C13" s="4" t="s">
        <v>321</v>
      </c>
      <c r="D13" s="4" t="s">
        <v>298</v>
      </c>
      <c r="E13" s="1" t="s">
        <v>280</v>
      </c>
      <c r="F13" s="4" t="s">
        <v>260</v>
      </c>
      <c r="G13" s="1" t="s">
        <v>326</v>
      </c>
      <c r="I13" s="1">
        <v>11</v>
      </c>
      <c r="J13" s="1" t="b">
        <v>1</v>
      </c>
    </row>
    <row r="14" spans="1:11">
      <c r="A14" s="1" t="s">
        <v>109</v>
      </c>
      <c r="B14" s="4" t="s">
        <v>204</v>
      </c>
      <c r="C14" s="1" t="s">
        <v>321</v>
      </c>
      <c r="D14" s="1" t="s">
        <v>299</v>
      </c>
      <c r="E14" s="1" t="s">
        <v>109</v>
      </c>
      <c r="F14" s="6" t="s">
        <v>114</v>
      </c>
      <c r="G14" s="1" t="s">
        <v>326</v>
      </c>
      <c r="I14" s="1">
        <v>12</v>
      </c>
      <c r="J14" s="1" t="b">
        <v>1</v>
      </c>
    </row>
    <row r="15" spans="1:11">
      <c r="A15" s="1" t="s">
        <v>110</v>
      </c>
      <c r="B15" s="1" t="s">
        <v>205</v>
      </c>
      <c r="C15" s="1" t="s">
        <v>321</v>
      </c>
      <c r="D15" s="1" t="s">
        <v>300</v>
      </c>
      <c r="E15" s="1" t="s">
        <v>110</v>
      </c>
      <c r="F15" s="1" t="s">
        <v>115</v>
      </c>
      <c r="G15" s="1" t="s">
        <v>326</v>
      </c>
      <c r="I15" s="1">
        <v>13</v>
      </c>
      <c r="J15" s="1" t="b">
        <v>1</v>
      </c>
    </row>
    <row r="16" spans="1:11">
      <c r="A16" s="1" t="s">
        <v>281</v>
      </c>
      <c r="B16" s="1" t="s">
        <v>64</v>
      </c>
      <c r="C16" s="1" t="s">
        <v>321</v>
      </c>
      <c r="D16" s="1" t="s">
        <v>301</v>
      </c>
      <c r="E16" s="1" t="s">
        <v>281</v>
      </c>
      <c r="F16" s="1" t="s">
        <v>327</v>
      </c>
      <c r="G16" s="1" t="s">
        <v>328</v>
      </c>
      <c r="I16" s="1">
        <v>14</v>
      </c>
      <c r="J16" s="1" t="b">
        <v>1</v>
      </c>
    </row>
    <row r="17" spans="1:10">
      <c r="A17" s="1" t="s">
        <v>282</v>
      </c>
      <c r="B17" s="1" t="s">
        <v>206</v>
      </c>
      <c r="C17" s="1" t="s">
        <v>321</v>
      </c>
      <c r="D17" s="1" t="s">
        <v>302</v>
      </c>
      <c r="E17" s="1" t="s">
        <v>282</v>
      </c>
      <c r="F17" s="1" t="s">
        <v>329</v>
      </c>
      <c r="G17" s="1" t="s">
        <v>135</v>
      </c>
      <c r="I17" s="1">
        <v>15</v>
      </c>
      <c r="J17" s="1" t="b">
        <v>1</v>
      </c>
    </row>
    <row r="18" spans="1:10">
      <c r="A18" s="1" t="s">
        <v>283</v>
      </c>
      <c r="B18" s="1" t="s">
        <v>207</v>
      </c>
      <c r="C18" s="1" t="s">
        <v>321</v>
      </c>
      <c r="D18" s="1" t="s">
        <v>303</v>
      </c>
      <c r="E18" s="1" t="s">
        <v>283</v>
      </c>
      <c r="F18" s="1" t="s">
        <v>261</v>
      </c>
      <c r="G18" s="1" t="s">
        <v>124</v>
      </c>
      <c r="I18" s="1">
        <v>16</v>
      </c>
      <c r="J18" s="1" t="b">
        <v>1</v>
      </c>
    </row>
    <row r="19" spans="1:10">
      <c r="A19" s="1" t="s">
        <v>284</v>
      </c>
      <c r="B19" s="1" t="s">
        <v>243</v>
      </c>
      <c r="C19" s="1" t="s">
        <v>330</v>
      </c>
      <c r="D19" s="1" t="s">
        <v>304</v>
      </c>
      <c r="E19" s="1" t="s">
        <v>284</v>
      </c>
      <c r="F19" s="1" t="s">
        <v>322</v>
      </c>
      <c r="G19" s="1" t="s">
        <v>323</v>
      </c>
      <c r="I19" s="1">
        <v>0</v>
      </c>
      <c r="J19" s="1" t="b">
        <v>1</v>
      </c>
    </row>
    <row r="20" spans="1:10">
      <c r="A20" s="1" t="s">
        <v>92</v>
      </c>
      <c r="B20" s="1" t="s">
        <v>208</v>
      </c>
      <c r="C20" s="1" t="s">
        <v>330</v>
      </c>
      <c r="D20" s="1" t="s">
        <v>305</v>
      </c>
      <c r="E20" s="1" t="s">
        <v>92</v>
      </c>
      <c r="F20" s="1" t="s">
        <v>100</v>
      </c>
      <c r="G20" s="1" t="s">
        <v>324</v>
      </c>
      <c r="I20" s="1">
        <v>1</v>
      </c>
      <c r="J20" s="1" t="b">
        <v>1</v>
      </c>
    </row>
    <row r="21" spans="1:10">
      <c r="A21" s="1" t="s">
        <v>93</v>
      </c>
      <c r="B21" s="1" t="s">
        <v>209</v>
      </c>
      <c r="C21" s="1" t="s">
        <v>330</v>
      </c>
      <c r="D21" s="1" t="s">
        <v>306</v>
      </c>
      <c r="E21" s="1" t="s">
        <v>93</v>
      </c>
      <c r="F21" s="1" t="s">
        <v>101</v>
      </c>
      <c r="G21" s="1" t="s">
        <v>324</v>
      </c>
      <c r="I21" s="1">
        <v>2</v>
      </c>
      <c r="J21" s="1" t="b">
        <v>1</v>
      </c>
    </row>
    <row r="22" spans="1:10">
      <c r="A22" s="1" t="s">
        <v>94</v>
      </c>
      <c r="B22" s="1" t="s">
        <v>210</v>
      </c>
      <c r="C22" s="1" t="s">
        <v>330</v>
      </c>
      <c r="D22" s="1" t="s">
        <v>307</v>
      </c>
      <c r="E22" s="1" t="s">
        <v>94</v>
      </c>
      <c r="F22" s="1" t="s">
        <v>102</v>
      </c>
      <c r="G22" s="1" t="s">
        <v>324</v>
      </c>
      <c r="I22" s="1">
        <v>3</v>
      </c>
      <c r="J22" s="1" t="b">
        <v>1</v>
      </c>
    </row>
    <row r="23" spans="1:10">
      <c r="A23" s="1" t="s">
        <v>95</v>
      </c>
      <c r="B23" s="1" t="s">
        <v>211</v>
      </c>
      <c r="C23" s="1" t="s">
        <v>330</v>
      </c>
      <c r="D23" s="1" t="s">
        <v>308</v>
      </c>
      <c r="E23" s="1" t="s">
        <v>95</v>
      </c>
      <c r="F23" s="6" t="s">
        <v>103</v>
      </c>
      <c r="G23" s="1" t="s">
        <v>324</v>
      </c>
      <c r="I23" s="1">
        <v>4</v>
      </c>
      <c r="J23" s="1" t="b">
        <v>1</v>
      </c>
    </row>
    <row r="24" spans="1:10">
      <c r="A24" s="1" t="s">
        <v>96</v>
      </c>
      <c r="B24" s="1" t="s">
        <v>212</v>
      </c>
      <c r="C24" s="4" t="s">
        <v>330</v>
      </c>
      <c r="D24" s="4" t="s">
        <v>309</v>
      </c>
      <c r="E24" s="1" t="s">
        <v>96</v>
      </c>
      <c r="F24" s="4" t="s">
        <v>104</v>
      </c>
      <c r="G24" s="1" t="s">
        <v>324</v>
      </c>
      <c r="I24" s="1">
        <v>5</v>
      </c>
      <c r="J24" s="1" t="b">
        <v>1</v>
      </c>
    </row>
    <row r="25" spans="1:10">
      <c r="A25" s="1" t="s">
        <v>97</v>
      </c>
      <c r="B25" s="1" t="s">
        <v>213</v>
      </c>
      <c r="C25" s="4" t="s">
        <v>330</v>
      </c>
      <c r="D25" s="4" t="s">
        <v>310</v>
      </c>
      <c r="E25" s="1" t="s">
        <v>97</v>
      </c>
      <c r="F25" s="4" t="s">
        <v>105</v>
      </c>
      <c r="G25" s="1" t="s">
        <v>324</v>
      </c>
      <c r="I25" s="1">
        <v>6</v>
      </c>
      <c r="J25" s="1" t="b">
        <v>1</v>
      </c>
    </row>
    <row r="26" spans="1:10">
      <c r="A26" s="1" t="s">
        <v>98</v>
      </c>
      <c r="B26" s="1" t="s">
        <v>214</v>
      </c>
      <c r="C26" s="4" t="s">
        <v>330</v>
      </c>
      <c r="D26" s="4" t="s">
        <v>311</v>
      </c>
      <c r="E26" s="1" t="s">
        <v>98</v>
      </c>
      <c r="F26" s="4" t="s">
        <v>106</v>
      </c>
      <c r="G26" s="1" t="s">
        <v>324</v>
      </c>
      <c r="I26" s="1">
        <v>7</v>
      </c>
      <c r="J26" s="1" t="b">
        <v>1</v>
      </c>
    </row>
    <row r="27" spans="1:10">
      <c r="A27" s="1" t="s">
        <v>99</v>
      </c>
      <c r="B27" s="1" t="s">
        <v>215</v>
      </c>
      <c r="C27" s="4" t="s">
        <v>330</v>
      </c>
      <c r="D27" s="1" t="s">
        <v>312</v>
      </c>
      <c r="E27" s="1" t="s">
        <v>99</v>
      </c>
      <c r="F27" s="6" t="s">
        <v>107</v>
      </c>
      <c r="G27" s="1" t="s">
        <v>324</v>
      </c>
      <c r="I27" s="1">
        <v>8</v>
      </c>
      <c r="J27" s="1" t="b">
        <v>1</v>
      </c>
    </row>
    <row r="28" spans="1:10">
      <c r="A28" s="1" t="s">
        <v>121</v>
      </c>
      <c r="B28" s="1" t="s">
        <v>216</v>
      </c>
      <c r="C28" s="1" t="s">
        <v>330</v>
      </c>
      <c r="D28" s="1" t="s">
        <v>313</v>
      </c>
      <c r="E28" s="1" t="s">
        <v>121</v>
      </c>
      <c r="F28" s="1" t="s">
        <v>331</v>
      </c>
      <c r="G28" s="1" t="s">
        <v>123</v>
      </c>
      <c r="I28" s="1">
        <v>9</v>
      </c>
      <c r="J28" s="1" t="b">
        <v>1</v>
      </c>
    </row>
    <row r="29" spans="1:10">
      <c r="A29" s="1" t="s">
        <v>274</v>
      </c>
      <c r="B29" s="1" t="s">
        <v>332</v>
      </c>
      <c r="C29" s="1" t="s">
        <v>321</v>
      </c>
      <c r="D29" s="1" t="s">
        <v>314</v>
      </c>
      <c r="E29" s="1" t="s">
        <v>274</v>
      </c>
      <c r="F29" s="1" t="s">
        <v>276</v>
      </c>
      <c r="G29" s="1" t="s">
        <v>273</v>
      </c>
      <c r="I29" s="1">
        <v>10</v>
      </c>
      <c r="J29" s="1" t="b">
        <v>1</v>
      </c>
    </row>
    <row r="30" spans="1:10">
      <c r="A30" s="1" t="s">
        <v>111</v>
      </c>
      <c r="B30" s="1" t="s">
        <v>217</v>
      </c>
      <c r="C30" s="1" t="s">
        <v>330</v>
      </c>
      <c r="D30" s="1" t="s">
        <v>315</v>
      </c>
      <c r="E30" s="1" t="s">
        <v>111</v>
      </c>
      <c r="F30" s="1" t="s">
        <v>116</v>
      </c>
      <c r="G30" s="1" t="s">
        <v>326</v>
      </c>
      <c r="I30" s="1">
        <v>11</v>
      </c>
      <c r="J30" s="1" t="b">
        <v>1</v>
      </c>
    </row>
    <row r="31" spans="1:10">
      <c r="A31" s="1" t="s">
        <v>112</v>
      </c>
      <c r="B31" s="1" t="s">
        <v>218</v>
      </c>
      <c r="C31" s="1" t="s">
        <v>330</v>
      </c>
      <c r="D31" s="1" t="s">
        <v>316</v>
      </c>
      <c r="E31" s="1" t="s">
        <v>112</v>
      </c>
      <c r="F31" s="1" t="s">
        <v>117</v>
      </c>
      <c r="G31" s="1" t="s">
        <v>326</v>
      </c>
      <c r="I31" s="1">
        <v>12</v>
      </c>
      <c r="J31" s="1" t="b">
        <v>1</v>
      </c>
    </row>
    <row r="32" spans="1:10">
      <c r="A32" s="1" t="s">
        <v>113</v>
      </c>
      <c r="B32" s="1" t="s">
        <v>219</v>
      </c>
      <c r="C32" s="1" t="s">
        <v>330</v>
      </c>
      <c r="D32" s="1" t="s">
        <v>317</v>
      </c>
      <c r="E32" s="1" t="s">
        <v>113</v>
      </c>
      <c r="F32" s="1" t="s">
        <v>118</v>
      </c>
      <c r="G32" s="1" t="s">
        <v>326</v>
      </c>
      <c r="I32" s="1">
        <v>13</v>
      </c>
      <c r="J32" s="1" t="b">
        <v>1</v>
      </c>
    </row>
    <row r="33" spans="1:10">
      <c r="A33" s="1" t="s">
        <v>285</v>
      </c>
      <c r="B33" s="1" t="s">
        <v>220</v>
      </c>
      <c r="C33" s="1" t="s">
        <v>330</v>
      </c>
      <c r="D33" s="1" t="s">
        <v>318</v>
      </c>
      <c r="E33" s="1" t="s">
        <v>285</v>
      </c>
      <c r="F33" s="1" t="s">
        <v>333</v>
      </c>
      <c r="G33" s="1" t="s">
        <v>328</v>
      </c>
      <c r="I33" s="1">
        <v>14</v>
      </c>
      <c r="J33" s="1" t="b">
        <v>1</v>
      </c>
    </row>
    <row r="34" spans="1:10">
      <c r="A34" s="1" t="s">
        <v>286</v>
      </c>
      <c r="B34" s="1" t="s">
        <v>221</v>
      </c>
      <c r="C34" s="1" t="s">
        <v>330</v>
      </c>
      <c r="D34" s="1" t="s">
        <v>319</v>
      </c>
      <c r="E34" s="1" t="s">
        <v>286</v>
      </c>
      <c r="F34" s="1" t="s">
        <v>334</v>
      </c>
      <c r="G34" s="1" t="s">
        <v>135</v>
      </c>
      <c r="I34" s="1">
        <v>15</v>
      </c>
      <c r="J34" s="1" t="b">
        <v>1</v>
      </c>
    </row>
    <row r="35" spans="1:10">
      <c r="A35" s="1" t="s">
        <v>128</v>
      </c>
      <c r="B35" s="1" t="s">
        <v>222</v>
      </c>
      <c r="C35" s="1" t="s">
        <v>330</v>
      </c>
      <c r="D35" s="1" t="s">
        <v>320</v>
      </c>
      <c r="E35" s="1" t="s">
        <v>128</v>
      </c>
      <c r="F35" s="1" t="s">
        <v>126</v>
      </c>
      <c r="G35" s="1" t="s">
        <v>124</v>
      </c>
      <c r="I35" s="1">
        <v>16</v>
      </c>
      <c r="J35" s="1" t="b">
        <v>1</v>
      </c>
    </row>
  </sheetData>
  <phoneticPr fontId="2" type="noConversion"/>
  <pageMargins left="0.7" right="0.7" top="0.75" bottom="0.75" header="0.3" footer="0.3"/>
  <pageSetup paperSize="9" orientation="portrait" horizontalDpi="203" verticalDpi="20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8"/>
  <sheetViews>
    <sheetView tabSelected="1" workbookViewId="0">
      <pane xSplit="1" topLeftCell="N1" activePane="topRight" state="frozen"/>
      <selection pane="topRight" activeCell="X2" sqref="X2"/>
    </sheetView>
  </sheetViews>
  <sheetFormatPr defaultColWidth="25.5" defaultRowHeight="14.25"/>
  <cols>
    <col min="1" max="1" width="20.625" style="1" bestFit="1" customWidth="1"/>
    <col min="2" max="2" width="8.625" style="7" hidden="1" customWidth="1"/>
    <col min="3" max="3" width="11" style="7" hidden="1" customWidth="1"/>
    <col min="4" max="4" width="14.375" style="7" bestFit="1" customWidth="1"/>
    <col min="5" max="5" width="6.875" style="7" bestFit="1" customWidth="1"/>
    <col min="6" max="6" width="12.625" style="7" bestFit="1" customWidth="1"/>
    <col min="7" max="7" width="14.875" style="1" bestFit="1" customWidth="1"/>
    <col min="8" max="8" width="10.75" style="1" bestFit="1" customWidth="1"/>
    <col min="9" max="9" width="8.625" style="1" bestFit="1" customWidth="1"/>
    <col min="10" max="10" width="10.875" style="1" bestFit="1" customWidth="1"/>
    <col min="11" max="11" width="10.875" style="1" customWidth="1"/>
    <col min="12" max="12" width="10.5" style="1" bestFit="1" customWidth="1"/>
    <col min="13" max="13" width="12.125" style="1" bestFit="1" customWidth="1"/>
    <col min="14" max="14" width="7.75" style="1" bestFit="1" customWidth="1"/>
    <col min="15" max="15" width="9.75" style="1" bestFit="1" customWidth="1"/>
    <col min="16" max="16" width="15.875" style="1" bestFit="1" customWidth="1"/>
    <col min="17" max="17" width="3.875" style="1" bestFit="1" customWidth="1"/>
    <col min="18" max="18" width="6.625" style="1" bestFit="1" customWidth="1"/>
    <col min="19" max="19" width="12.625" style="1" bestFit="1" customWidth="1"/>
    <col min="20" max="20" width="10.625" style="1" bestFit="1" customWidth="1"/>
    <col min="21" max="21" width="25.5" style="1"/>
    <col min="22" max="22" width="21.125" style="1" bestFit="1" customWidth="1"/>
    <col min="23" max="23" width="8.625" style="1" bestFit="1" customWidth="1"/>
    <col min="24" max="24" width="24.25" style="1" bestFit="1" customWidth="1"/>
    <col min="25" max="25" width="16.375" style="1" bestFit="1" customWidth="1"/>
    <col min="26" max="26" width="7.625" style="1" bestFit="1" customWidth="1"/>
    <col min="27" max="27" width="8.25" style="1" bestFit="1" customWidth="1"/>
    <col min="28" max="28" width="14.875" style="1" bestFit="1" customWidth="1"/>
    <col min="29" max="29" width="7.875" style="1" bestFit="1" customWidth="1"/>
    <col min="30" max="30" width="15.25" style="1" bestFit="1" customWidth="1"/>
    <col min="31" max="16384" width="25.5" style="1"/>
  </cols>
  <sheetData>
    <row r="1" spans="1:30">
      <c r="A1" s="1" t="s">
        <v>343</v>
      </c>
      <c r="B1" s="7" t="s">
        <v>194</v>
      </c>
      <c r="C1" s="7" t="s">
        <v>267</v>
      </c>
      <c r="D1" s="7" t="s">
        <v>268</v>
      </c>
      <c r="E1" s="7" t="s">
        <v>342</v>
      </c>
      <c r="F1" s="7" t="s">
        <v>341</v>
      </c>
      <c r="G1" s="1" t="s">
        <v>255</v>
      </c>
      <c r="H1" s="1" t="s">
        <v>340</v>
      </c>
      <c r="I1" s="1" t="s">
        <v>7</v>
      </c>
      <c r="J1" s="1" t="s">
        <v>8</v>
      </c>
      <c r="K1" s="1" t="s">
        <v>349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348</v>
      </c>
      <c r="Q1" s="1" t="s">
        <v>14</v>
      </c>
      <c r="R1" s="1" t="s">
        <v>15</v>
      </c>
      <c r="S1" s="1" t="s">
        <v>16</v>
      </c>
      <c r="T1" s="1" t="s">
        <v>17</v>
      </c>
      <c r="V1" s="1" t="s">
        <v>344</v>
      </c>
      <c r="W1" s="1" t="s">
        <v>7</v>
      </c>
      <c r="X1" s="1" t="s">
        <v>363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</v>
      </c>
    </row>
    <row r="2" spans="1:30">
      <c r="A2" s="1" t="str">
        <f t="shared" ref="A2:A38" si="0">_xlfn.CONCAT(IF(ISBLANK(B2),"",_xlfn.CONCAT(B2,".")),IF(ISBLANK(C2),"",_xlfn.CONCAT(C2,".")),IF(ISBLANK(D2),"",_xlfn.CONCAT(D2,".")),IF(ISBLANK(E2),"",_xlfn.CONCAT(E2,".")),F2)</f>
        <v>PLC01.Input.Heartbeat</v>
      </c>
      <c r="D2" s="7" t="s">
        <v>233</v>
      </c>
      <c r="E2" s="7" t="s">
        <v>253</v>
      </c>
      <c r="F2" s="7" t="s">
        <v>223</v>
      </c>
      <c r="G2" s="1" t="s">
        <v>257</v>
      </c>
      <c r="H2" s="1" t="s">
        <v>129</v>
      </c>
      <c r="I2" s="1" t="s">
        <v>143</v>
      </c>
      <c r="J2" s="1" t="str">
        <f t="shared" ref="J2:J38" si="1">_xlfn.CONCAT(L2,M2,".",N2,IF(ISBLANK(O2),"",_xlfn.CONCAT(".",O2)))</f>
        <v>DB1002.0.0</v>
      </c>
      <c r="K2" s="1" t="s">
        <v>143</v>
      </c>
      <c r="L2" s="1" t="s">
        <v>18</v>
      </c>
      <c r="M2" s="1">
        <v>1002</v>
      </c>
      <c r="N2" s="1">
        <v>0</v>
      </c>
      <c r="O2" s="1">
        <v>0</v>
      </c>
      <c r="P2" s="1">
        <v>1</v>
      </c>
      <c r="Q2" s="1" t="s">
        <v>345</v>
      </c>
      <c r="S2" s="1" t="s">
        <v>20</v>
      </c>
      <c r="T2" s="1" t="s">
        <v>21</v>
      </c>
      <c r="V2" s="1" t="str">
        <f t="shared" ref="V2:V38" si="2">_xlfn.CONCAT(G2,"_",H2)</f>
        <v>产线01_1秒心跳</v>
      </c>
      <c r="W2" s="1" t="s">
        <v>143</v>
      </c>
      <c r="Y2" s="1" t="s">
        <v>223</v>
      </c>
      <c r="AA2" s="1" t="s">
        <v>31</v>
      </c>
      <c r="AD2" s="1" t="str">
        <f>D2</f>
        <v>PLC01</v>
      </c>
    </row>
    <row r="3" spans="1:30">
      <c r="A3" s="1" t="str">
        <f t="shared" si="0"/>
        <v>PLC01.ManualMode</v>
      </c>
      <c r="D3" s="7" t="s">
        <v>233</v>
      </c>
      <c r="F3" s="7" t="s">
        <v>139</v>
      </c>
      <c r="G3" s="1" t="s">
        <v>257</v>
      </c>
      <c r="H3" s="1" t="s">
        <v>130</v>
      </c>
      <c r="I3" s="1" t="s">
        <v>143</v>
      </c>
      <c r="J3" s="1" t="str">
        <f t="shared" si="1"/>
        <v>DB1002.0.1</v>
      </c>
      <c r="K3" s="1" t="s">
        <v>143</v>
      </c>
      <c r="L3" s="1" t="s">
        <v>18</v>
      </c>
      <c r="M3" s="1">
        <v>1002</v>
      </c>
      <c r="N3" s="1">
        <v>0</v>
      </c>
      <c r="O3" s="1">
        <v>1</v>
      </c>
      <c r="P3" s="1">
        <v>1</v>
      </c>
      <c r="Q3" s="1" t="s">
        <v>345</v>
      </c>
      <c r="S3" s="1" t="s">
        <v>20</v>
      </c>
      <c r="T3" s="1" t="s">
        <v>21</v>
      </c>
      <c r="V3" s="1" t="str">
        <f t="shared" si="2"/>
        <v>产线01_手动模式</v>
      </c>
      <c r="W3" s="1" t="s">
        <v>143</v>
      </c>
      <c r="Y3" s="1" t="s">
        <v>138</v>
      </c>
      <c r="AA3" s="1" t="s">
        <v>31</v>
      </c>
      <c r="AD3" s="1" t="str">
        <f t="shared" ref="AD3:AD38" si="3">D3</f>
        <v>PLC01</v>
      </c>
    </row>
    <row r="4" spans="1:30">
      <c r="A4" s="1" t="str">
        <f t="shared" si="0"/>
        <v>PLC01.AutoMode</v>
      </c>
      <c r="D4" s="7" t="s">
        <v>233</v>
      </c>
      <c r="F4" s="7" t="s">
        <v>142</v>
      </c>
      <c r="G4" s="1" t="s">
        <v>257</v>
      </c>
      <c r="H4" s="1" t="s">
        <v>131</v>
      </c>
      <c r="I4" s="1" t="s">
        <v>143</v>
      </c>
      <c r="J4" s="1" t="str">
        <f t="shared" si="1"/>
        <v>DB1002.0.2</v>
      </c>
      <c r="K4" s="1" t="s">
        <v>143</v>
      </c>
      <c r="L4" s="1" t="s">
        <v>18</v>
      </c>
      <c r="M4" s="1">
        <v>1002</v>
      </c>
      <c r="N4" s="1">
        <v>0</v>
      </c>
      <c r="O4" s="1">
        <v>2</v>
      </c>
      <c r="P4" s="1">
        <v>1</v>
      </c>
      <c r="Q4" s="1" t="s">
        <v>345</v>
      </c>
      <c r="S4" s="1" t="s">
        <v>20</v>
      </c>
      <c r="T4" s="1" t="s">
        <v>21</v>
      </c>
      <c r="V4" s="1" t="str">
        <f t="shared" si="2"/>
        <v>产线01_自动模式</v>
      </c>
      <c r="W4" s="1" t="s">
        <v>143</v>
      </c>
      <c r="Y4" s="1" t="s">
        <v>141</v>
      </c>
      <c r="AA4" s="1" t="s">
        <v>31</v>
      </c>
      <c r="AD4" s="1" t="str">
        <f t="shared" si="3"/>
        <v>PLC01</v>
      </c>
    </row>
    <row r="5" spans="1:30">
      <c r="A5" s="1" t="str">
        <f t="shared" si="0"/>
        <v>PLC01.RunningStatus</v>
      </c>
      <c r="D5" s="7" t="s">
        <v>233</v>
      </c>
      <c r="F5" s="7" t="s">
        <v>140</v>
      </c>
      <c r="G5" s="1" t="s">
        <v>257</v>
      </c>
      <c r="H5" s="1" t="s">
        <v>132</v>
      </c>
      <c r="I5" s="1" t="s">
        <v>143</v>
      </c>
      <c r="J5" s="1" t="str">
        <f t="shared" si="1"/>
        <v>DB1002.0.3</v>
      </c>
      <c r="K5" s="1" t="s">
        <v>143</v>
      </c>
      <c r="L5" s="1" t="s">
        <v>18</v>
      </c>
      <c r="M5" s="1">
        <v>1002</v>
      </c>
      <c r="N5" s="1">
        <v>0</v>
      </c>
      <c r="O5" s="1">
        <v>3</v>
      </c>
      <c r="P5" s="1">
        <v>1</v>
      </c>
      <c r="Q5" s="1" t="s">
        <v>345</v>
      </c>
      <c r="S5" s="1" t="s">
        <v>20</v>
      </c>
      <c r="T5" s="1" t="s">
        <v>21</v>
      </c>
      <c r="V5" s="1" t="str">
        <f t="shared" si="2"/>
        <v>产线01_运行状态</v>
      </c>
      <c r="W5" s="1" t="s">
        <v>143</v>
      </c>
      <c r="Y5" s="1" t="s">
        <v>50</v>
      </c>
      <c r="AA5" s="1" t="s">
        <v>31</v>
      </c>
      <c r="AD5" s="1" t="str">
        <f t="shared" si="3"/>
        <v>PLC01</v>
      </c>
    </row>
    <row r="6" spans="1:30">
      <c r="A6" s="1" t="str">
        <f t="shared" si="0"/>
        <v>BZJ01.Status</v>
      </c>
      <c r="D6" s="7" t="s">
        <v>76</v>
      </c>
      <c r="F6" s="8" t="s">
        <v>50</v>
      </c>
      <c r="G6" s="1" t="s">
        <v>80</v>
      </c>
      <c r="H6" s="1" t="s">
        <v>339</v>
      </c>
      <c r="I6" s="4" t="s">
        <v>65</v>
      </c>
      <c r="J6" s="1" t="str">
        <f t="shared" si="1"/>
        <v>DB1002.2</v>
      </c>
      <c r="K6" s="1" t="s">
        <v>350</v>
      </c>
      <c r="L6" s="1" t="s">
        <v>18</v>
      </c>
      <c r="M6" s="1">
        <v>1002</v>
      </c>
      <c r="N6" s="1">
        <v>2</v>
      </c>
      <c r="P6" s="1">
        <v>1</v>
      </c>
      <c r="Q6" s="1" t="s">
        <v>345</v>
      </c>
      <c r="R6" s="1" t="str">
        <f t="shared" ref="R6:R38" si="4">IF(I6="STRING",64,"")</f>
        <v/>
      </c>
      <c r="S6" s="1" t="s">
        <v>20</v>
      </c>
      <c r="T6" s="1" t="s">
        <v>21</v>
      </c>
      <c r="V6" s="1" t="str">
        <f t="shared" si="2"/>
        <v>包装机01_状态</v>
      </c>
      <c r="W6" s="4" t="s">
        <v>65</v>
      </c>
      <c r="X6" s="4"/>
      <c r="Y6" s="1" t="s">
        <v>50</v>
      </c>
      <c r="AA6" s="1" t="s">
        <v>31</v>
      </c>
      <c r="AB6" s="3"/>
      <c r="AD6" s="1" t="str">
        <f t="shared" si="3"/>
        <v>BZJ01</v>
      </c>
    </row>
    <row r="7" spans="1:30">
      <c r="A7" s="1" t="str">
        <f t="shared" si="0"/>
        <v>BZJ01.Request</v>
      </c>
      <c r="D7" s="7" t="s">
        <v>76</v>
      </c>
      <c r="F7" s="7" t="s">
        <v>22</v>
      </c>
      <c r="G7" s="1" t="s">
        <v>80</v>
      </c>
      <c r="H7" s="1" t="s">
        <v>41</v>
      </c>
      <c r="I7" s="4" t="s">
        <v>65</v>
      </c>
      <c r="J7" s="1" t="str">
        <f t="shared" si="1"/>
        <v>DB1002.4</v>
      </c>
      <c r="K7" s="1" t="s">
        <v>350</v>
      </c>
      <c r="L7" s="1" t="s">
        <v>18</v>
      </c>
      <c r="M7" s="1">
        <v>1002</v>
      </c>
      <c r="N7" s="1">
        <v>4</v>
      </c>
      <c r="P7" s="1">
        <v>1</v>
      </c>
      <c r="Q7" s="1" t="s">
        <v>345</v>
      </c>
      <c r="R7" s="1" t="str">
        <f t="shared" si="4"/>
        <v/>
      </c>
      <c r="S7" s="1" t="s">
        <v>20</v>
      </c>
      <c r="T7" s="1" t="s">
        <v>21</v>
      </c>
      <c r="V7" s="1" t="str">
        <f t="shared" si="2"/>
        <v>包装机01_申请读码</v>
      </c>
      <c r="W7" s="4" t="s">
        <v>65</v>
      </c>
      <c r="X7" s="4"/>
      <c r="Y7" s="1" t="s">
        <v>32</v>
      </c>
      <c r="AA7" s="1" t="s">
        <v>31</v>
      </c>
      <c r="AB7" s="5" t="s">
        <v>58</v>
      </c>
      <c r="AD7" s="1" t="str">
        <f t="shared" si="3"/>
        <v>BZJ01</v>
      </c>
    </row>
    <row r="8" spans="1:30">
      <c r="A8" s="1" t="str">
        <f t="shared" si="0"/>
        <v>BZJ01.Code</v>
      </c>
      <c r="D8" s="7" t="s">
        <v>76</v>
      </c>
      <c r="F8" s="7" t="s">
        <v>23</v>
      </c>
      <c r="G8" s="1" t="s">
        <v>80</v>
      </c>
      <c r="H8" s="1" t="s">
        <v>42</v>
      </c>
      <c r="I8" s="4" t="s">
        <v>46</v>
      </c>
      <c r="J8" s="1" t="str">
        <f t="shared" si="1"/>
        <v>DB1002.6</v>
      </c>
      <c r="K8" s="1" t="s">
        <v>352</v>
      </c>
      <c r="L8" s="1" t="s">
        <v>18</v>
      </c>
      <c r="M8" s="1">
        <v>1002</v>
      </c>
      <c r="N8" s="1">
        <v>6</v>
      </c>
      <c r="P8" s="1">
        <v>1</v>
      </c>
      <c r="Q8" s="1" t="s">
        <v>345</v>
      </c>
      <c r="R8" s="1">
        <v>32</v>
      </c>
      <c r="S8" s="1" t="s">
        <v>20</v>
      </c>
      <c r="T8" s="1" t="s">
        <v>21</v>
      </c>
      <c r="V8" s="1" t="str">
        <f t="shared" si="2"/>
        <v>包装机01_袋码数据</v>
      </c>
      <c r="W8" s="4" t="s">
        <v>46</v>
      </c>
      <c r="X8" s="4"/>
      <c r="Y8" s="4" t="s">
        <v>67</v>
      </c>
      <c r="AA8" s="1" t="s">
        <v>31</v>
      </c>
      <c r="AB8" s="3"/>
      <c r="AD8" s="1" t="str">
        <f t="shared" si="3"/>
        <v>BZJ01</v>
      </c>
    </row>
    <row r="9" spans="1:30">
      <c r="A9" s="1" t="str">
        <f t="shared" si="0"/>
        <v>BZJ01.Weight</v>
      </c>
      <c r="D9" s="7" t="s">
        <v>76</v>
      </c>
      <c r="F9" s="7" t="s">
        <v>249</v>
      </c>
      <c r="G9" s="1" t="s">
        <v>80</v>
      </c>
      <c r="H9" s="1" t="s">
        <v>247</v>
      </c>
      <c r="I9" s="1" t="s">
        <v>251</v>
      </c>
      <c r="J9" s="1" t="str">
        <f t="shared" si="1"/>
        <v>DB1002.40</v>
      </c>
      <c r="K9" s="1" t="s">
        <v>351</v>
      </c>
      <c r="L9" s="1" t="s">
        <v>18</v>
      </c>
      <c r="M9" s="1">
        <v>1002</v>
      </c>
      <c r="N9" s="1">
        <v>40</v>
      </c>
      <c r="P9" s="1">
        <v>1</v>
      </c>
      <c r="Q9" s="1" t="s">
        <v>345</v>
      </c>
      <c r="R9" s="1" t="str">
        <f t="shared" ref="R9" si="5">IF(I9="STRING",64,"")</f>
        <v/>
      </c>
      <c r="S9" s="1" t="s">
        <v>20</v>
      </c>
      <c r="T9" s="1" t="s">
        <v>21</v>
      </c>
      <c r="V9" s="1" t="str">
        <f t="shared" si="2"/>
        <v>包装机01_包装重量</v>
      </c>
      <c r="W9" s="1" t="s">
        <v>251</v>
      </c>
      <c r="Y9" s="1" t="s">
        <v>249</v>
      </c>
      <c r="AA9" s="1" t="s">
        <v>31</v>
      </c>
      <c r="AB9" s="5"/>
      <c r="AD9" s="1" t="str">
        <f t="shared" si="3"/>
        <v>BZJ01</v>
      </c>
    </row>
    <row r="10" spans="1:30">
      <c r="A10" s="1" t="str">
        <f t="shared" si="0"/>
        <v>BZJ01.TimeOffset</v>
      </c>
      <c r="D10" s="7" t="s">
        <v>76</v>
      </c>
      <c r="F10" s="7" t="s">
        <v>250</v>
      </c>
      <c r="G10" s="1" t="s">
        <v>80</v>
      </c>
      <c r="H10" s="1" t="s">
        <v>248</v>
      </c>
      <c r="I10" s="1" t="s">
        <v>251</v>
      </c>
      <c r="J10" s="1" t="str">
        <f t="shared" si="1"/>
        <v>DB1002.44</v>
      </c>
      <c r="K10" s="1" t="s">
        <v>351</v>
      </c>
      <c r="L10" s="1" t="s">
        <v>18</v>
      </c>
      <c r="M10" s="1">
        <v>1002</v>
      </c>
      <c r="N10" s="1">
        <v>44</v>
      </c>
      <c r="P10" s="1">
        <v>1</v>
      </c>
      <c r="Q10" s="1" t="s">
        <v>345</v>
      </c>
      <c r="S10" s="1" t="s">
        <v>20</v>
      </c>
      <c r="T10" s="1" t="s">
        <v>21</v>
      </c>
      <c r="V10" s="1" t="str">
        <f t="shared" si="2"/>
        <v>包装机01_包装时间</v>
      </c>
      <c r="W10" s="1" t="s">
        <v>251</v>
      </c>
      <c r="Y10" s="1" t="s">
        <v>250</v>
      </c>
      <c r="AA10" s="1" t="s">
        <v>31</v>
      </c>
      <c r="AB10" s="3"/>
      <c r="AD10" s="1" t="str">
        <f t="shared" si="3"/>
        <v>BZJ01</v>
      </c>
    </row>
    <row r="11" spans="1:30">
      <c r="A11" s="1" t="str">
        <f t="shared" si="0"/>
        <v>CZJ01.Status</v>
      </c>
      <c r="D11" s="7" t="s">
        <v>120</v>
      </c>
      <c r="F11" s="8" t="s">
        <v>50</v>
      </c>
      <c r="G11" s="1" t="s">
        <v>119</v>
      </c>
      <c r="H11" s="1" t="s">
        <v>339</v>
      </c>
      <c r="I11" s="4" t="s">
        <v>65</v>
      </c>
      <c r="J11" s="1" t="str">
        <f t="shared" si="1"/>
        <v>DB1002.48</v>
      </c>
      <c r="K11" s="1" t="s">
        <v>350</v>
      </c>
      <c r="L11" s="1" t="s">
        <v>18</v>
      </c>
      <c r="M11" s="1">
        <v>1002</v>
      </c>
      <c r="N11" s="1">
        <v>48</v>
      </c>
      <c r="P11" s="1">
        <v>1</v>
      </c>
      <c r="Q11" s="1" t="s">
        <v>345</v>
      </c>
      <c r="R11" s="1" t="str">
        <f t="shared" ref="R11:R12" si="6">IF(I11="STRING",64,"")</f>
        <v/>
      </c>
      <c r="S11" s="1" t="s">
        <v>20</v>
      </c>
      <c r="T11" s="1" t="s">
        <v>21</v>
      </c>
      <c r="V11" s="1" t="str">
        <f t="shared" si="2"/>
        <v>称重机01_状态</v>
      </c>
      <c r="W11" s="4" t="s">
        <v>65</v>
      </c>
      <c r="X11" s="4"/>
      <c r="Y11" s="1" t="s">
        <v>50</v>
      </c>
      <c r="AA11" s="1" t="s">
        <v>31</v>
      </c>
      <c r="AB11" s="3"/>
      <c r="AD11" s="1" t="str">
        <f t="shared" si="3"/>
        <v>CZJ01</v>
      </c>
    </row>
    <row r="12" spans="1:30">
      <c r="A12" s="1" t="str">
        <f t="shared" si="0"/>
        <v>CZJ01.Request</v>
      </c>
      <c r="D12" s="7" t="s">
        <v>120</v>
      </c>
      <c r="F12" s="7" t="s">
        <v>22</v>
      </c>
      <c r="G12" s="1" t="s">
        <v>119</v>
      </c>
      <c r="H12" s="1" t="s">
        <v>41</v>
      </c>
      <c r="I12" s="4" t="s">
        <v>65</v>
      </c>
      <c r="J12" s="1" t="str">
        <f t="shared" si="1"/>
        <v>DB1002.50</v>
      </c>
      <c r="K12" s="1" t="s">
        <v>350</v>
      </c>
      <c r="L12" s="1" t="s">
        <v>18</v>
      </c>
      <c r="M12" s="1">
        <v>1002</v>
      </c>
      <c r="N12" s="1">
        <v>50</v>
      </c>
      <c r="P12" s="1">
        <v>1</v>
      </c>
      <c r="Q12" s="1" t="s">
        <v>345</v>
      </c>
      <c r="R12" s="1" t="str">
        <f t="shared" si="6"/>
        <v/>
      </c>
      <c r="S12" s="1" t="s">
        <v>20</v>
      </c>
      <c r="T12" s="1" t="s">
        <v>21</v>
      </c>
      <c r="V12" s="1" t="str">
        <f t="shared" si="2"/>
        <v>称重机01_申请读码</v>
      </c>
      <c r="W12" s="4" t="s">
        <v>65</v>
      </c>
      <c r="X12" s="4"/>
      <c r="Y12" s="1" t="s">
        <v>32</v>
      </c>
      <c r="AA12" s="1" t="s">
        <v>31</v>
      </c>
      <c r="AB12" s="5" t="s">
        <v>58</v>
      </c>
      <c r="AD12" s="1" t="str">
        <f t="shared" si="3"/>
        <v>CZJ01</v>
      </c>
    </row>
    <row r="13" spans="1:30">
      <c r="A13" s="1" t="str">
        <f t="shared" si="0"/>
        <v>CZJ01.Code</v>
      </c>
      <c r="D13" s="7" t="s">
        <v>120</v>
      </c>
      <c r="F13" s="7" t="s">
        <v>23</v>
      </c>
      <c r="G13" s="1" t="s">
        <v>119</v>
      </c>
      <c r="H13" s="1" t="s">
        <v>42</v>
      </c>
      <c r="I13" s="4" t="s">
        <v>46</v>
      </c>
      <c r="J13" s="1" t="str">
        <f t="shared" si="1"/>
        <v>DB1002.52</v>
      </c>
      <c r="K13" s="1" t="s">
        <v>352</v>
      </c>
      <c r="L13" s="1" t="s">
        <v>18</v>
      </c>
      <c r="M13" s="1">
        <v>1002</v>
      </c>
      <c r="N13" s="1">
        <v>52</v>
      </c>
      <c r="P13" s="1">
        <v>1</v>
      </c>
      <c r="Q13" s="1" t="s">
        <v>345</v>
      </c>
      <c r="R13" s="1">
        <v>32</v>
      </c>
      <c r="S13" s="1" t="s">
        <v>20</v>
      </c>
      <c r="T13" s="1" t="s">
        <v>21</v>
      </c>
      <c r="V13" s="1" t="str">
        <f t="shared" si="2"/>
        <v>称重机01_袋码数据</v>
      </c>
      <c r="W13" s="4" t="s">
        <v>46</v>
      </c>
      <c r="X13" s="4"/>
      <c r="Y13" s="4" t="s">
        <v>67</v>
      </c>
      <c r="AA13" s="1" t="s">
        <v>31</v>
      </c>
      <c r="AB13" s="3"/>
      <c r="AD13" s="1" t="str">
        <f t="shared" si="3"/>
        <v>CZJ01</v>
      </c>
    </row>
    <row r="14" spans="1:30">
      <c r="A14" s="1" t="str">
        <f t="shared" si="0"/>
        <v>CZJ01.Data</v>
      </c>
      <c r="D14" s="7" t="s">
        <v>120</v>
      </c>
      <c r="F14" s="7" t="s">
        <v>246</v>
      </c>
      <c r="G14" s="1" t="s">
        <v>119</v>
      </c>
      <c r="H14" s="1" t="s">
        <v>245</v>
      </c>
      <c r="I14" s="1" t="s">
        <v>251</v>
      </c>
      <c r="J14" s="1" t="str">
        <f t="shared" si="1"/>
        <v>DB1002.86</v>
      </c>
      <c r="K14" s="1" t="s">
        <v>351</v>
      </c>
      <c r="L14" s="1" t="s">
        <v>18</v>
      </c>
      <c r="M14" s="1">
        <v>1002</v>
      </c>
      <c r="N14" s="1">
        <v>86</v>
      </c>
      <c r="P14" s="1">
        <v>1</v>
      </c>
      <c r="Q14" s="1" t="s">
        <v>345</v>
      </c>
      <c r="S14" s="1" t="s">
        <v>20</v>
      </c>
      <c r="T14" s="1" t="s">
        <v>21</v>
      </c>
      <c r="V14" s="1" t="str">
        <f t="shared" si="2"/>
        <v>称重机01_称重数据</v>
      </c>
      <c r="W14" s="1" t="s">
        <v>251</v>
      </c>
      <c r="Y14" s="1" t="s">
        <v>246</v>
      </c>
      <c r="AA14" s="1" t="s">
        <v>31</v>
      </c>
      <c r="AB14" s="3"/>
      <c r="AD14" s="1" t="str">
        <f t="shared" si="3"/>
        <v>CZJ01</v>
      </c>
    </row>
    <row r="15" spans="1:30">
      <c r="A15" s="1" t="str">
        <f t="shared" si="0"/>
        <v>PMJ01.Status</v>
      </c>
      <c r="D15" s="7" t="s">
        <v>147</v>
      </c>
      <c r="F15" s="8" t="s">
        <v>50</v>
      </c>
      <c r="G15" s="1" t="s">
        <v>262</v>
      </c>
      <c r="H15" s="1" t="s">
        <v>339</v>
      </c>
      <c r="I15" s="4" t="s">
        <v>65</v>
      </c>
      <c r="J15" s="1" t="str">
        <f t="shared" si="1"/>
        <v>DB1002.90</v>
      </c>
      <c r="K15" s="1" t="s">
        <v>350</v>
      </c>
      <c r="L15" s="1" t="s">
        <v>18</v>
      </c>
      <c r="M15" s="1">
        <v>1002</v>
      </c>
      <c r="N15" s="1">
        <v>90</v>
      </c>
      <c r="P15" s="1">
        <v>1</v>
      </c>
      <c r="Q15" s="1" t="s">
        <v>345</v>
      </c>
      <c r="S15" s="1" t="s">
        <v>20</v>
      </c>
      <c r="T15" s="1" t="s">
        <v>21</v>
      </c>
      <c r="V15" s="1" t="str">
        <f t="shared" si="2"/>
        <v>喷码机01_状态</v>
      </c>
      <c r="W15" s="4" t="s">
        <v>65</v>
      </c>
      <c r="X15" s="4"/>
      <c r="Y15" s="1" t="s">
        <v>50</v>
      </c>
      <c r="AA15" s="1" t="s">
        <v>31</v>
      </c>
      <c r="AB15" s="3"/>
      <c r="AD15" s="1" t="str">
        <f t="shared" si="3"/>
        <v>PMJ01</v>
      </c>
    </row>
    <row r="16" spans="1:30">
      <c r="A16" s="1" t="str">
        <f t="shared" si="0"/>
        <v>PMJ01.Request</v>
      </c>
      <c r="D16" s="7" t="s">
        <v>147</v>
      </c>
      <c r="F16" s="7" t="s">
        <v>22</v>
      </c>
      <c r="G16" s="1" t="s">
        <v>262</v>
      </c>
      <c r="H16" s="1" t="s">
        <v>41</v>
      </c>
      <c r="I16" s="4" t="s">
        <v>65</v>
      </c>
      <c r="J16" s="1" t="str">
        <f t="shared" si="1"/>
        <v>DB1002.92</v>
      </c>
      <c r="K16" s="1" t="s">
        <v>350</v>
      </c>
      <c r="L16" s="1" t="s">
        <v>18</v>
      </c>
      <c r="M16" s="1">
        <v>1002</v>
      </c>
      <c r="N16" s="1">
        <v>92</v>
      </c>
      <c r="P16" s="1">
        <v>1</v>
      </c>
      <c r="Q16" s="1" t="s">
        <v>345</v>
      </c>
      <c r="S16" s="1" t="s">
        <v>20</v>
      </c>
      <c r="T16" s="1" t="s">
        <v>21</v>
      </c>
      <c r="V16" s="1" t="str">
        <f t="shared" si="2"/>
        <v>喷码机01_申请读码</v>
      </c>
      <c r="W16" s="4" t="s">
        <v>65</v>
      </c>
      <c r="X16" s="4"/>
      <c r="Y16" s="1" t="s">
        <v>32</v>
      </c>
      <c r="AA16" s="1" t="s">
        <v>31</v>
      </c>
      <c r="AB16" s="5" t="s">
        <v>58</v>
      </c>
      <c r="AD16" s="1" t="str">
        <f t="shared" si="3"/>
        <v>PMJ01</v>
      </c>
    </row>
    <row r="17" spans="1:30">
      <c r="A17" s="1" t="str">
        <f t="shared" si="0"/>
        <v>PMJ01.Code</v>
      </c>
      <c r="D17" s="7" t="s">
        <v>147</v>
      </c>
      <c r="F17" s="7" t="s">
        <v>23</v>
      </c>
      <c r="G17" s="1" t="s">
        <v>262</v>
      </c>
      <c r="H17" s="1" t="s">
        <v>42</v>
      </c>
      <c r="I17" s="4" t="s">
        <v>46</v>
      </c>
      <c r="J17" s="1" t="str">
        <f t="shared" si="1"/>
        <v>DB1002.94</v>
      </c>
      <c r="K17" s="1" t="s">
        <v>352</v>
      </c>
      <c r="L17" s="1" t="s">
        <v>18</v>
      </c>
      <c r="M17" s="1">
        <v>1002</v>
      </c>
      <c r="N17" s="1">
        <v>94</v>
      </c>
      <c r="P17" s="1">
        <v>1</v>
      </c>
      <c r="Q17" s="1" t="s">
        <v>345</v>
      </c>
      <c r="R17" s="1">
        <v>32</v>
      </c>
      <c r="S17" s="1" t="s">
        <v>20</v>
      </c>
      <c r="T17" s="1" t="s">
        <v>21</v>
      </c>
      <c r="V17" s="1" t="str">
        <f t="shared" si="2"/>
        <v>喷码机01_袋码数据</v>
      </c>
      <c r="W17" s="4" t="s">
        <v>46</v>
      </c>
      <c r="X17" s="4"/>
      <c r="Y17" s="4" t="s">
        <v>67</v>
      </c>
      <c r="AA17" s="1" t="s">
        <v>31</v>
      </c>
      <c r="AB17" s="3"/>
      <c r="AD17" s="1" t="str">
        <f t="shared" si="3"/>
        <v>PMJ01</v>
      </c>
    </row>
    <row r="18" spans="1:30">
      <c r="A18" s="1" t="str">
        <f t="shared" si="0"/>
        <v>MDJ01.Status</v>
      </c>
      <c r="D18" s="7" t="s">
        <v>61</v>
      </c>
      <c r="E18" s="8"/>
      <c r="F18" s="8" t="s">
        <v>50</v>
      </c>
      <c r="G18" s="1" t="s">
        <v>108</v>
      </c>
      <c r="H18" s="1" t="s">
        <v>339</v>
      </c>
      <c r="I18" s="4" t="s">
        <v>65</v>
      </c>
      <c r="J18" s="1" t="str">
        <f t="shared" si="1"/>
        <v>DB1002.128</v>
      </c>
      <c r="K18" s="1" t="s">
        <v>350</v>
      </c>
      <c r="L18" s="1" t="s">
        <v>18</v>
      </c>
      <c r="M18" s="1">
        <v>1002</v>
      </c>
      <c r="N18" s="1">
        <v>128</v>
      </c>
      <c r="P18" s="1">
        <v>1</v>
      </c>
      <c r="Q18" s="1" t="s">
        <v>345</v>
      </c>
      <c r="S18" s="1" t="s">
        <v>20</v>
      </c>
      <c r="T18" s="1" t="s">
        <v>21</v>
      </c>
      <c r="V18" s="1" t="str">
        <f t="shared" si="2"/>
        <v>码垛机01_状态</v>
      </c>
      <c r="W18" s="4" t="s">
        <v>65</v>
      </c>
      <c r="X18" s="4"/>
      <c r="Y18" s="1" t="s">
        <v>50</v>
      </c>
      <c r="AA18" s="1" t="s">
        <v>31</v>
      </c>
      <c r="AD18" s="1" t="str">
        <f t="shared" si="3"/>
        <v>MDJ01</v>
      </c>
    </row>
    <row r="19" spans="1:30">
      <c r="A19" s="1" t="str">
        <f t="shared" si="0"/>
        <v>MDJ01.Request</v>
      </c>
      <c r="D19" s="7" t="s">
        <v>61</v>
      </c>
      <c r="E19" s="8"/>
      <c r="F19" s="7" t="s">
        <v>22</v>
      </c>
      <c r="G19" s="1" t="s">
        <v>108</v>
      </c>
      <c r="H19" s="1" t="s">
        <v>41</v>
      </c>
      <c r="I19" s="4" t="s">
        <v>65</v>
      </c>
      <c r="J19" s="1" t="str">
        <f t="shared" si="1"/>
        <v>DB1002.130</v>
      </c>
      <c r="K19" s="1" t="s">
        <v>350</v>
      </c>
      <c r="L19" s="1" t="s">
        <v>18</v>
      </c>
      <c r="M19" s="1">
        <v>1002</v>
      </c>
      <c r="N19" s="1">
        <v>130</v>
      </c>
      <c r="P19" s="1">
        <v>1</v>
      </c>
      <c r="Q19" s="1" t="s">
        <v>345</v>
      </c>
      <c r="S19" s="1" t="s">
        <v>20</v>
      </c>
      <c r="T19" s="1" t="s">
        <v>21</v>
      </c>
      <c r="V19" s="1" t="str">
        <f t="shared" si="2"/>
        <v>码垛机01_申请读码</v>
      </c>
      <c r="W19" s="4" t="s">
        <v>65</v>
      </c>
      <c r="X19" s="4"/>
      <c r="Y19" s="1" t="s">
        <v>32</v>
      </c>
      <c r="AA19" s="1" t="s">
        <v>31</v>
      </c>
      <c r="AB19" s="5" t="s">
        <v>58</v>
      </c>
      <c r="AD19" s="1" t="str">
        <f t="shared" si="3"/>
        <v>MDJ01</v>
      </c>
    </row>
    <row r="20" spans="1:30">
      <c r="A20" s="1" t="str">
        <f t="shared" si="0"/>
        <v>MDJ01.Code</v>
      </c>
      <c r="D20" s="7" t="s">
        <v>61</v>
      </c>
      <c r="E20" s="8"/>
      <c r="F20" s="7" t="s">
        <v>23</v>
      </c>
      <c r="G20" s="1" t="s">
        <v>108</v>
      </c>
      <c r="H20" s="1" t="s">
        <v>44</v>
      </c>
      <c r="I20" s="4" t="s">
        <v>46</v>
      </c>
      <c r="J20" s="1" t="str">
        <f t="shared" si="1"/>
        <v>DB1002.132</v>
      </c>
      <c r="K20" s="1" t="s">
        <v>352</v>
      </c>
      <c r="L20" s="1" t="s">
        <v>18</v>
      </c>
      <c r="M20" s="1">
        <v>1002</v>
      </c>
      <c r="N20" s="1">
        <v>132</v>
      </c>
      <c r="P20" s="1">
        <v>1</v>
      </c>
      <c r="Q20" s="1" t="s">
        <v>345</v>
      </c>
      <c r="S20" s="1" t="s">
        <v>20</v>
      </c>
      <c r="T20" s="1" t="s">
        <v>21</v>
      </c>
      <c r="V20" s="1" t="str">
        <f t="shared" si="2"/>
        <v>码垛机01_码垛袋码</v>
      </c>
      <c r="W20" s="4" t="s">
        <v>46</v>
      </c>
      <c r="X20" s="4"/>
      <c r="Y20" s="4" t="s">
        <v>67</v>
      </c>
      <c r="AA20" s="1" t="s">
        <v>31</v>
      </c>
      <c r="AD20" s="1" t="str">
        <f t="shared" si="3"/>
        <v>MDJ01</v>
      </c>
    </row>
    <row r="21" spans="1:30">
      <c r="A21" s="1" t="str">
        <f t="shared" si="0"/>
        <v>MDJ01.Sn</v>
      </c>
      <c r="D21" s="7" t="s">
        <v>61</v>
      </c>
      <c r="E21" s="8"/>
      <c r="F21" s="8" t="s">
        <v>51</v>
      </c>
      <c r="G21" s="1" t="s">
        <v>108</v>
      </c>
      <c r="H21" s="1" t="s">
        <v>45</v>
      </c>
      <c r="I21" s="4" t="s">
        <v>65</v>
      </c>
      <c r="J21" s="1" t="str">
        <f t="shared" si="1"/>
        <v>DB1002.166</v>
      </c>
      <c r="K21" s="1" t="s">
        <v>350</v>
      </c>
      <c r="L21" s="1" t="s">
        <v>18</v>
      </c>
      <c r="M21" s="1">
        <v>1002</v>
      </c>
      <c r="N21" s="1">
        <v>166</v>
      </c>
      <c r="P21" s="1">
        <v>1</v>
      </c>
      <c r="Q21" s="1" t="s">
        <v>345</v>
      </c>
      <c r="S21" s="1" t="s">
        <v>20</v>
      </c>
      <c r="T21" s="1" t="s">
        <v>21</v>
      </c>
      <c r="V21" s="1" t="str">
        <f t="shared" si="2"/>
        <v>码垛机01_码垛包数</v>
      </c>
      <c r="W21" s="4" t="s">
        <v>65</v>
      </c>
      <c r="X21" s="4"/>
      <c r="Y21" s="1" t="s">
        <v>51</v>
      </c>
      <c r="AA21" s="1" t="s">
        <v>31</v>
      </c>
      <c r="AD21" s="1" t="str">
        <f t="shared" si="3"/>
        <v>MDJ01</v>
      </c>
    </row>
    <row r="22" spans="1:30">
      <c r="A22" s="1" t="str">
        <f t="shared" si="0"/>
        <v>CDJ01.Request</v>
      </c>
      <c r="D22" s="7" t="s">
        <v>62</v>
      </c>
      <c r="E22" s="8"/>
      <c r="F22" s="7" t="s">
        <v>22</v>
      </c>
      <c r="G22" s="1" t="s">
        <v>263</v>
      </c>
      <c r="H22" s="1" t="s">
        <v>335</v>
      </c>
      <c r="I22" s="4" t="s">
        <v>65</v>
      </c>
      <c r="J22" s="1" t="str">
        <f t="shared" si="1"/>
        <v>DB1002.168</v>
      </c>
      <c r="K22" s="1" t="s">
        <v>350</v>
      </c>
      <c r="L22" s="1" t="s">
        <v>18</v>
      </c>
      <c r="M22" s="1">
        <v>1002</v>
      </c>
      <c r="N22" s="1">
        <v>168</v>
      </c>
      <c r="P22" s="1">
        <v>1</v>
      </c>
      <c r="Q22" s="1" t="s">
        <v>345</v>
      </c>
      <c r="S22" s="1" t="s">
        <v>20</v>
      </c>
      <c r="T22" s="1" t="s">
        <v>21</v>
      </c>
      <c r="V22" s="1" t="str">
        <f t="shared" si="2"/>
        <v>出垛01_申请读码</v>
      </c>
      <c r="W22" s="4" t="s">
        <v>65</v>
      </c>
      <c r="X22" s="4"/>
      <c r="Y22" s="4" t="s">
        <v>68</v>
      </c>
      <c r="AA22" s="1" t="s">
        <v>31</v>
      </c>
      <c r="AB22" s="5" t="s">
        <v>58</v>
      </c>
      <c r="AD22" s="1" t="str">
        <f t="shared" si="3"/>
        <v>CDJ01</v>
      </c>
    </row>
    <row r="23" spans="1:30">
      <c r="A23" s="1" t="str">
        <f t="shared" si="0"/>
        <v>CDJ01.Code</v>
      </c>
      <c r="D23" s="7" t="s">
        <v>62</v>
      </c>
      <c r="E23" s="8"/>
      <c r="F23" s="7" t="s">
        <v>23</v>
      </c>
      <c r="G23" s="1" t="s">
        <v>263</v>
      </c>
      <c r="H23" s="1" t="s">
        <v>336</v>
      </c>
      <c r="I23" s="4" t="s">
        <v>46</v>
      </c>
      <c r="J23" s="1" t="str">
        <f t="shared" si="1"/>
        <v>DB1002.170</v>
      </c>
      <c r="K23" s="1" t="s">
        <v>352</v>
      </c>
      <c r="L23" s="1" t="s">
        <v>18</v>
      </c>
      <c r="M23" s="1">
        <v>1002</v>
      </c>
      <c r="N23" s="1">
        <v>170</v>
      </c>
      <c r="P23" s="1">
        <v>1</v>
      </c>
      <c r="Q23" s="1" t="s">
        <v>345</v>
      </c>
      <c r="S23" s="1" t="s">
        <v>20</v>
      </c>
      <c r="T23" s="1" t="s">
        <v>21</v>
      </c>
      <c r="V23" s="1" t="str">
        <f t="shared" si="2"/>
        <v>出垛01_袋码数据</v>
      </c>
      <c r="W23" s="4" t="s">
        <v>46</v>
      </c>
      <c r="X23" s="4"/>
      <c r="Y23" s="4" t="s">
        <v>67</v>
      </c>
      <c r="AA23" s="1" t="s">
        <v>31</v>
      </c>
      <c r="AD23" s="1" t="str">
        <f t="shared" si="3"/>
        <v>CDJ01</v>
      </c>
    </row>
    <row r="24" spans="1:30">
      <c r="A24" s="1" t="str">
        <f t="shared" si="0"/>
        <v>CDJ01.PalletCode</v>
      </c>
      <c r="D24" s="7" t="s">
        <v>62</v>
      </c>
      <c r="E24" s="8"/>
      <c r="F24" s="7" t="s">
        <v>71</v>
      </c>
      <c r="G24" s="1" t="s">
        <v>263</v>
      </c>
      <c r="H24" s="4" t="s">
        <v>73</v>
      </c>
      <c r="I24" s="4" t="s">
        <v>46</v>
      </c>
      <c r="J24" s="1" t="str">
        <f t="shared" si="1"/>
        <v>DB1002.204</v>
      </c>
      <c r="K24" s="1" t="s">
        <v>352</v>
      </c>
      <c r="L24" s="1" t="s">
        <v>18</v>
      </c>
      <c r="M24" s="1">
        <v>1002</v>
      </c>
      <c r="N24" s="1">
        <v>204</v>
      </c>
      <c r="P24" s="1">
        <v>1</v>
      </c>
      <c r="Q24" s="1" t="s">
        <v>345</v>
      </c>
      <c r="S24" s="1" t="s">
        <v>20</v>
      </c>
      <c r="T24" s="1" t="s">
        <v>21</v>
      </c>
      <c r="V24" s="1" t="str">
        <f t="shared" si="2"/>
        <v>出垛01_垛盘码数据</v>
      </c>
      <c r="W24" s="4" t="s">
        <v>46</v>
      </c>
      <c r="X24" s="4"/>
      <c r="Y24" s="1" t="s">
        <v>71</v>
      </c>
      <c r="AA24" s="1" t="s">
        <v>31</v>
      </c>
      <c r="AD24" s="1" t="str">
        <f t="shared" si="3"/>
        <v>CDJ01</v>
      </c>
    </row>
    <row r="25" spans="1:30">
      <c r="A25" s="1" t="str">
        <f t="shared" si="0"/>
        <v>FMJ01.Request</v>
      </c>
      <c r="D25" s="7" t="s">
        <v>133</v>
      </c>
      <c r="E25" s="8"/>
      <c r="F25" s="7" t="s">
        <v>22</v>
      </c>
      <c r="G25" s="1" t="s">
        <v>264</v>
      </c>
      <c r="H25" s="1" t="s">
        <v>335</v>
      </c>
      <c r="I25" s="4" t="s">
        <v>65</v>
      </c>
      <c r="J25" s="1" t="str">
        <f t="shared" si="1"/>
        <v>DB1002.238</v>
      </c>
      <c r="K25" s="1" t="s">
        <v>350</v>
      </c>
      <c r="L25" s="1" t="s">
        <v>18</v>
      </c>
      <c r="M25" s="1">
        <v>1002</v>
      </c>
      <c r="N25" s="1">
        <v>238</v>
      </c>
      <c r="P25" s="1">
        <v>1</v>
      </c>
      <c r="Q25" s="1" t="s">
        <v>345</v>
      </c>
      <c r="S25" s="1" t="s">
        <v>20</v>
      </c>
      <c r="T25" s="1" t="s">
        <v>21</v>
      </c>
      <c r="V25" s="1" t="str">
        <f t="shared" si="2"/>
        <v>覆膜缠绕机01_申请读码</v>
      </c>
      <c r="W25" s="4" t="s">
        <v>65</v>
      </c>
      <c r="X25" s="4"/>
      <c r="Y25" s="4" t="s">
        <v>68</v>
      </c>
      <c r="AA25" s="1" t="s">
        <v>31</v>
      </c>
      <c r="AB25" s="5" t="s">
        <v>58</v>
      </c>
      <c r="AD25" s="1" t="str">
        <f t="shared" si="3"/>
        <v>FMJ01</v>
      </c>
    </row>
    <row r="26" spans="1:30">
      <c r="A26" s="1" t="str">
        <f t="shared" si="0"/>
        <v>FMJ01.Code</v>
      </c>
      <c r="D26" s="7" t="s">
        <v>133</v>
      </c>
      <c r="E26" s="8"/>
      <c r="F26" s="7" t="s">
        <v>23</v>
      </c>
      <c r="G26" s="1" t="s">
        <v>264</v>
      </c>
      <c r="H26" s="1" t="s">
        <v>336</v>
      </c>
      <c r="I26" s="4" t="s">
        <v>46</v>
      </c>
      <c r="J26" s="1" t="str">
        <f t="shared" si="1"/>
        <v>DB1002.240</v>
      </c>
      <c r="K26" s="1" t="s">
        <v>352</v>
      </c>
      <c r="L26" s="1" t="s">
        <v>18</v>
      </c>
      <c r="M26" s="1">
        <v>1002</v>
      </c>
      <c r="N26" s="1">
        <v>240</v>
      </c>
      <c r="P26" s="1">
        <v>1</v>
      </c>
      <c r="Q26" s="1" t="s">
        <v>345</v>
      </c>
      <c r="S26" s="1" t="s">
        <v>20</v>
      </c>
      <c r="T26" s="1" t="s">
        <v>21</v>
      </c>
      <c r="V26" s="1" t="str">
        <f t="shared" si="2"/>
        <v>覆膜缠绕机01_袋码数据</v>
      </c>
      <c r="W26" s="4" t="s">
        <v>46</v>
      </c>
      <c r="X26" s="4"/>
      <c r="Y26" s="4" t="s">
        <v>67</v>
      </c>
      <c r="AA26" s="1" t="s">
        <v>31</v>
      </c>
      <c r="AD26" s="1" t="str">
        <f t="shared" si="3"/>
        <v>FMJ01</v>
      </c>
    </row>
    <row r="27" spans="1:30">
      <c r="A27" s="1" t="str">
        <f t="shared" si="0"/>
        <v>TBJ01.Request</v>
      </c>
      <c r="D27" s="7" t="s">
        <v>127</v>
      </c>
      <c r="E27" s="8"/>
      <c r="F27" s="7" t="s">
        <v>22</v>
      </c>
      <c r="G27" s="1" t="s">
        <v>125</v>
      </c>
      <c r="H27" s="1" t="s">
        <v>335</v>
      </c>
      <c r="I27" s="4" t="s">
        <v>65</v>
      </c>
      <c r="J27" s="1" t="str">
        <f t="shared" si="1"/>
        <v>DB1002.274</v>
      </c>
      <c r="K27" s="1" t="s">
        <v>350</v>
      </c>
      <c r="L27" s="1" t="s">
        <v>18</v>
      </c>
      <c r="M27" s="1">
        <v>1002</v>
      </c>
      <c r="N27" s="1">
        <v>274</v>
      </c>
      <c r="P27" s="1">
        <v>1</v>
      </c>
      <c r="Q27" s="1" t="s">
        <v>345</v>
      </c>
      <c r="S27" s="1" t="s">
        <v>20</v>
      </c>
      <c r="T27" s="1" t="s">
        <v>21</v>
      </c>
      <c r="V27" s="1" t="str">
        <f t="shared" si="2"/>
        <v>贴标机01_申请读码</v>
      </c>
      <c r="W27" s="4" t="s">
        <v>65</v>
      </c>
      <c r="X27" s="4"/>
      <c r="Y27" s="4" t="s">
        <v>68</v>
      </c>
      <c r="AA27" s="1" t="s">
        <v>31</v>
      </c>
      <c r="AB27" s="5" t="s">
        <v>58</v>
      </c>
      <c r="AD27" s="1" t="str">
        <f t="shared" si="3"/>
        <v>TBJ01</v>
      </c>
    </row>
    <row r="28" spans="1:30">
      <c r="A28" s="1" t="str">
        <f t="shared" si="0"/>
        <v>TBJ01.Code</v>
      </c>
      <c r="D28" s="7" t="s">
        <v>127</v>
      </c>
      <c r="E28" s="8"/>
      <c r="F28" s="7" t="s">
        <v>23</v>
      </c>
      <c r="G28" s="1" t="s">
        <v>125</v>
      </c>
      <c r="H28" s="1" t="s">
        <v>336</v>
      </c>
      <c r="I28" s="4" t="s">
        <v>46</v>
      </c>
      <c r="J28" s="1" t="str">
        <f t="shared" si="1"/>
        <v>DB1002.276</v>
      </c>
      <c r="K28" s="1" t="s">
        <v>352</v>
      </c>
      <c r="L28" s="1" t="s">
        <v>18</v>
      </c>
      <c r="M28" s="1">
        <v>1002</v>
      </c>
      <c r="N28" s="1">
        <v>276</v>
      </c>
      <c r="P28" s="1">
        <v>1</v>
      </c>
      <c r="Q28" s="1" t="s">
        <v>345</v>
      </c>
      <c r="S28" s="1" t="s">
        <v>20</v>
      </c>
      <c r="T28" s="1" t="s">
        <v>21</v>
      </c>
      <c r="V28" s="1" t="str">
        <f t="shared" si="2"/>
        <v>贴标机01_袋码数据</v>
      </c>
      <c r="W28" s="4" t="s">
        <v>46</v>
      </c>
      <c r="X28" s="4"/>
      <c r="Y28" s="4" t="s">
        <v>67</v>
      </c>
      <c r="AA28" s="1" t="s">
        <v>31</v>
      </c>
      <c r="AD28" s="1" t="str">
        <f t="shared" si="3"/>
        <v>TBJ01</v>
      </c>
    </row>
    <row r="29" spans="1:30">
      <c r="A29" s="1" t="str">
        <f t="shared" si="0"/>
        <v>TBJ01.PalletCode</v>
      </c>
      <c r="D29" s="7" t="s">
        <v>127</v>
      </c>
      <c r="E29" s="8"/>
      <c r="F29" s="7" t="s">
        <v>71</v>
      </c>
      <c r="G29" s="1" t="s">
        <v>125</v>
      </c>
      <c r="H29" s="1" t="s">
        <v>337</v>
      </c>
      <c r="I29" s="4" t="s">
        <v>46</v>
      </c>
      <c r="J29" s="1" t="str">
        <f t="shared" si="1"/>
        <v>DB1002.310</v>
      </c>
      <c r="K29" s="1" t="s">
        <v>352</v>
      </c>
      <c r="L29" s="1" t="s">
        <v>18</v>
      </c>
      <c r="M29" s="1">
        <v>1002</v>
      </c>
      <c r="N29" s="1">
        <v>310</v>
      </c>
      <c r="P29" s="1">
        <v>1</v>
      </c>
      <c r="Q29" s="1" t="s">
        <v>345</v>
      </c>
      <c r="S29" s="1" t="s">
        <v>20</v>
      </c>
      <c r="T29" s="1" t="s">
        <v>21</v>
      </c>
      <c r="V29" s="1" t="str">
        <f t="shared" si="2"/>
        <v>贴标机01_垛盘码数据</v>
      </c>
      <c r="W29" s="4" t="s">
        <v>46</v>
      </c>
      <c r="X29" s="4"/>
      <c r="Y29" s="1" t="s">
        <v>71</v>
      </c>
      <c r="AA29" s="1" t="s">
        <v>31</v>
      </c>
      <c r="AD29" s="1" t="str">
        <f t="shared" si="3"/>
        <v>TBJ01</v>
      </c>
    </row>
    <row r="30" spans="1:30">
      <c r="A30" s="1" t="str">
        <f t="shared" si="0"/>
        <v>PLC01.Output.Heartbeat</v>
      </c>
      <c r="D30" s="7" t="s">
        <v>233</v>
      </c>
      <c r="E30" s="7" t="s">
        <v>254</v>
      </c>
      <c r="F30" s="7" t="s">
        <v>223</v>
      </c>
      <c r="G30" s="1" t="s">
        <v>257</v>
      </c>
      <c r="H30" s="1" t="s">
        <v>129</v>
      </c>
      <c r="I30" s="1" t="s">
        <v>143</v>
      </c>
      <c r="J30" s="1" t="str">
        <f t="shared" si="1"/>
        <v>DB1001.0.0</v>
      </c>
      <c r="K30" s="1" t="s">
        <v>143</v>
      </c>
      <c r="L30" s="1" t="s">
        <v>18</v>
      </c>
      <c r="M30" s="1">
        <v>1001</v>
      </c>
      <c r="N30" s="1">
        <v>0</v>
      </c>
      <c r="O30" s="1">
        <v>0</v>
      </c>
      <c r="P30" s="1">
        <v>2</v>
      </c>
      <c r="Q30" s="1" t="s">
        <v>347</v>
      </c>
      <c r="S30" s="1" t="s">
        <v>20</v>
      </c>
      <c r="T30" s="1" t="s">
        <v>21</v>
      </c>
      <c r="V30" s="1" t="str">
        <f t="shared" si="2"/>
        <v>产线01_1秒心跳</v>
      </c>
      <c r="W30" s="1" t="s">
        <v>143</v>
      </c>
      <c r="Y30" s="1" t="s">
        <v>223</v>
      </c>
      <c r="AA30" s="1" t="s">
        <v>34</v>
      </c>
      <c r="AD30" s="1" t="str">
        <f t="shared" si="3"/>
        <v>PLC01</v>
      </c>
    </row>
    <row r="31" spans="1:30">
      <c r="A31" s="1" t="str">
        <f t="shared" si="0"/>
        <v>BZJ01.ProcessResult</v>
      </c>
      <c r="C31" s="8"/>
      <c r="D31" s="7" t="s">
        <v>76</v>
      </c>
      <c r="F31" s="8" t="s">
        <v>69</v>
      </c>
      <c r="G31" s="1" t="s">
        <v>80</v>
      </c>
      <c r="H31" s="1" t="s">
        <v>338</v>
      </c>
      <c r="I31" s="4" t="s">
        <v>65</v>
      </c>
      <c r="J31" s="1" t="str">
        <f t="shared" si="1"/>
        <v>DB1001.2</v>
      </c>
      <c r="K31" s="1" t="s">
        <v>350</v>
      </c>
      <c r="L31" s="1" t="s">
        <v>18</v>
      </c>
      <c r="M31" s="1">
        <v>1001</v>
      </c>
      <c r="N31" s="1">
        <v>2</v>
      </c>
      <c r="P31" s="1">
        <v>2</v>
      </c>
      <c r="Q31" s="1" t="s">
        <v>346</v>
      </c>
      <c r="R31" s="1" t="str">
        <f t="shared" si="4"/>
        <v/>
      </c>
      <c r="S31" s="1" t="s">
        <v>20</v>
      </c>
      <c r="T31" s="1" t="s">
        <v>21</v>
      </c>
      <c r="V31" s="1" t="str">
        <f t="shared" si="2"/>
        <v>包装机01_读码完成</v>
      </c>
      <c r="W31" s="4" t="s">
        <v>65</v>
      </c>
      <c r="X31" s="4"/>
      <c r="Y31" s="1" t="s">
        <v>69</v>
      </c>
      <c r="AA31" s="1" t="s">
        <v>34</v>
      </c>
      <c r="AD31" s="1" t="str">
        <f t="shared" si="3"/>
        <v>BZJ01</v>
      </c>
    </row>
    <row r="32" spans="1:30">
      <c r="A32" s="1" t="str">
        <f t="shared" si="0"/>
        <v>CZJ01.ProcessResult</v>
      </c>
      <c r="C32" s="8"/>
      <c r="D32" s="7" t="s">
        <v>120</v>
      </c>
      <c r="F32" s="8" t="s">
        <v>69</v>
      </c>
      <c r="G32" s="1" t="s">
        <v>119</v>
      </c>
      <c r="H32" s="1" t="s">
        <v>338</v>
      </c>
      <c r="I32" s="4" t="s">
        <v>65</v>
      </c>
      <c r="J32" s="1" t="str">
        <f t="shared" si="1"/>
        <v>DB1001.4</v>
      </c>
      <c r="K32" s="1" t="s">
        <v>350</v>
      </c>
      <c r="L32" s="1" t="s">
        <v>18</v>
      </c>
      <c r="M32" s="1">
        <v>1001</v>
      </c>
      <c r="N32" s="1">
        <v>4</v>
      </c>
      <c r="P32" s="1">
        <v>2</v>
      </c>
      <c r="Q32" s="1" t="s">
        <v>346</v>
      </c>
      <c r="R32" s="1" t="str">
        <f t="shared" si="4"/>
        <v/>
      </c>
      <c r="S32" s="1" t="s">
        <v>20</v>
      </c>
      <c r="T32" s="1" t="s">
        <v>21</v>
      </c>
      <c r="V32" s="1" t="str">
        <f t="shared" si="2"/>
        <v>称重机01_读码完成</v>
      </c>
      <c r="W32" s="4" t="s">
        <v>65</v>
      </c>
      <c r="X32" s="4"/>
      <c r="Y32" s="1" t="s">
        <v>69</v>
      </c>
      <c r="AA32" s="1" t="s">
        <v>34</v>
      </c>
      <c r="AD32" s="1" t="str">
        <f t="shared" si="3"/>
        <v>CZJ01</v>
      </c>
    </row>
    <row r="33" spans="1:30">
      <c r="A33" s="1" t="str">
        <f t="shared" si="0"/>
        <v>PMJ01.ProcessResult</v>
      </c>
      <c r="C33" s="8"/>
      <c r="D33" s="7" t="s">
        <v>147</v>
      </c>
      <c r="F33" s="8" t="s">
        <v>69</v>
      </c>
      <c r="G33" s="1" t="s">
        <v>262</v>
      </c>
      <c r="H33" s="1" t="s">
        <v>338</v>
      </c>
      <c r="I33" s="4" t="s">
        <v>65</v>
      </c>
      <c r="J33" s="1" t="str">
        <f t="shared" si="1"/>
        <v>DB1001.6</v>
      </c>
      <c r="K33" s="1" t="s">
        <v>350</v>
      </c>
      <c r="L33" s="1" t="s">
        <v>18</v>
      </c>
      <c r="M33" s="1">
        <v>1001</v>
      </c>
      <c r="N33" s="1">
        <v>6</v>
      </c>
      <c r="P33" s="1">
        <v>2</v>
      </c>
      <c r="Q33" s="1" t="s">
        <v>346</v>
      </c>
      <c r="R33" s="1" t="str">
        <f t="shared" si="4"/>
        <v/>
      </c>
      <c r="S33" s="1" t="s">
        <v>20</v>
      </c>
      <c r="T33" s="1" t="s">
        <v>21</v>
      </c>
      <c r="V33" s="1" t="str">
        <f t="shared" si="2"/>
        <v>喷码机01_读码完成</v>
      </c>
      <c r="W33" s="4" t="s">
        <v>65</v>
      </c>
      <c r="X33" s="4"/>
      <c r="Y33" s="1" t="s">
        <v>69</v>
      </c>
      <c r="AA33" s="1" t="s">
        <v>34</v>
      </c>
      <c r="AD33" s="1" t="str">
        <f t="shared" si="3"/>
        <v>PMJ01</v>
      </c>
    </row>
    <row r="34" spans="1:30">
      <c r="A34" s="1" t="str">
        <f t="shared" si="0"/>
        <v>MDJ01.ProcessResult</v>
      </c>
      <c r="C34" s="8"/>
      <c r="D34" s="7" t="s">
        <v>61</v>
      </c>
      <c r="E34" s="8"/>
      <c r="F34" s="8" t="s">
        <v>69</v>
      </c>
      <c r="G34" s="1" t="s">
        <v>108</v>
      </c>
      <c r="H34" s="1" t="s">
        <v>338</v>
      </c>
      <c r="I34" s="4" t="s">
        <v>65</v>
      </c>
      <c r="J34" s="1" t="str">
        <f t="shared" si="1"/>
        <v>DB1001.8</v>
      </c>
      <c r="K34" s="1" t="s">
        <v>350</v>
      </c>
      <c r="L34" s="1" t="s">
        <v>18</v>
      </c>
      <c r="M34" s="1">
        <v>1001</v>
      </c>
      <c r="N34" s="1">
        <v>8</v>
      </c>
      <c r="P34" s="1">
        <v>2</v>
      </c>
      <c r="Q34" s="1" t="s">
        <v>346</v>
      </c>
      <c r="R34" s="1" t="str">
        <f t="shared" si="4"/>
        <v/>
      </c>
      <c r="S34" s="1" t="s">
        <v>20</v>
      </c>
      <c r="T34" s="1" t="s">
        <v>21</v>
      </c>
      <c r="V34" s="1" t="str">
        <f t="shared" si="2"/>
        <v>码垛机01_读码完成</v>
      </c>
      <c r="W34" s="4" t="s">
        <v>65</v>
      </c>
      <c r="X34" s="4"/>
      <c r="Y34" s="1" t="s">
        <v>69</v>
      </c>
      <c r="AA34" s="1" t="s">
        <v>34</v>
      </c>
      <c r="AD34" s="1" t="str">
        <f t="shared" si="3"/>
        <v>MDJ01</v>
      </c>
    </row>
    <row r="35" spans="1:30">
      <c r="A35" s="1" t="str">
        <f t="shared" si="0"/>
        <v>MDJ01.Position</v>
      </c>
      <c r="C35" s="8"/>
      <c r="D35" s="7" t="s">
        <v>61</v>
      </c>
      <c r="E35" s="8"/>
      <c r="F35" s="8" t="s">
        <v>57</v>
      </c>
      <c r="G35" s="1" t="s">
        <v>108</v>
      </c>
      <c r="H35" s="4" t="s">
        <v>56</v>
      </c>
      <c r="I35" s="4" t="s">
        <v>65</v>
      </c>
      <c r="J35" s="1" t="str">
        <f t="shared" si="1"/>
        <v>DB1001.10</v>
      </c>
      <c r="K35" s="1" t="s">
        <v>350</v>
      </c>
      <c r="L35" s="1" t="s">
        <v>18</v>
      </c>
      <c r="M35" s="1">
        <v>1001</v>
      </c>
      <c r="N35" s="1">
        <v>10</v>
      </c>
      <c r="P35" s="1">
        <v>2</v>
      </c>
      <c r="Q35" s="1" t="s">
        <v>346</v>
      </c>
      <c r="R35" s="1" t="str">
        <f t="shared" si="4"/>
        <v/>
      </c>
      <c r="S35" s="1" t="s">
        <v>20</v>
      </c>
      <c r="T35" s="1" t="s">
        <v>21</v>
      </c>
      <c r="V35" s="1" t="str">
        <f t="shared" si="2"/>
        <v>码垛机01_垛位号</v>
      </c>
      <c r="W35" s="4" t="s">
        <v>65</v>
      </c>
      <c r="X35" s="4"/>
      <c r="Y35" s="1" t="s">
        <v>57</v>
      </c>
      <c r="AA35" s="1" t="s">
        <v>34</v>
      </c>
      <c r="AD35" s="1" t="str">
        <f t="shared" si="3"/>
        <v>MDJ01</v>
      </c>
    </row>
    <row r="36" spans="1:30">
      <c r="A36" s="1" t="str">
        <f t="shared" si="0"/>
        <v>CDJ01.ProcessResult</v>
      </c>
      <c r="D36" s="7" t="s">
        <v>62</v>
      </c>
      <c r="E36" s="8"/>
      <c r="F36" s="8" t="s">
        <v>69</v>
      </c>
      <c r="G36" s="1" t="s">
        <v>263</v>
      </c>
      <c r="H36" s="1" t="s">
        <v>338</v>
      </c>
      <c r="I36" s="4" t="s">
        <v>65</v>
      </c>
      <c r="J36" s="1" t="str">
        <f t="shared" si="1"/>
        <v>DB1001.12</v>
      </c>
      <c r="K36" s="1" t="s">
        <v>350</v>
      </c>
      <c r="L36" s="1" t="s">
        <v>18</v>
      </c>
      <c r="M36" s="1">
        <v>1001</v>
      </c>
      <c r="N36" s="1">
        <v>12</v>
      </c>
      <c r="P36" s="1">
        <v>2</v>
      </c>
      <c r="Q36" s="1" t="s">
        <v>346</v>
      </c>
      <c r="R36" s="1" t="str">
        <f t="shared" si="4"/>
        <v/>
      </c>
      <c r="S36" s="1" t="s">
        <v>20</v>
      </c>
      <c r="T36" s="1" t="s">
        <v>21</v>
      </c>
      <c r="V36" s="1" t="str">
        <f t="shared" si="2"/>
        <v>出垛01_读码完成</v>
      </c>
      <c r="W36" s="4" t="s">
        <v>65</v>
      </c>
      <c r="X36" s="4"/>
      <c r="Y36" s="1" t="s">
        <v>69</v>
      </c>
      <c r="AA36" s="1" t="s">
        <v>34</v>
      </c>
      <c r="AD36" s="1" t="str">
        <f t="shared" si="3"/>
        <v>CDJ01</v>
      </c>
    </row>
    <row r="37" spans="1:30">
      <c r="A37" s="1" t="str">
        <f t="shared" si="0"/>
        <v>FMJ01.ProcessResult</v>
      </c>
      <c r="C37" s="8"/>
      <c r="D37" s="7" t="s">
        <v>133</v>
      </c>
      <c r="E37" s="8"/>
      <c r="F37" s="8" t="s">
        <v>69</v>
      </c>
      <c r="G37" s="1" t="s">
        <v>264</v>
      </c>
      <c r="H37" s="1" t="s">
        <v>338</v>
      </c>
      <c r="I37" s="4" t="s">
        <v>65</v>
      </c>
      <c r="J37" s="1" t="str">
        <f t="shared" si="1"/>
        <v>DB1001.14</v>
      </c>
      <c r="K37" s="1" t="s">
        <v>350</v>
      </c>
      <c r="L37" s="1" t="s">
        <v>18</v>
      </c>
      <c r="M37" s="1">
        <v>1001</v>
      </c>
      <c r="N37" s="1">
        <v>14</v>
      </c>
      <c r="P37" s="1">
        <v>2</v>
      </c>
      <c r="Q37" s="1" t="s">
        <v>346</v>
      </c>
      <c r="R37" s="1" t="str">
        <f t="shared" si="4"/>
        <v/>
      </c>
      <c r="S37" s="1" t="s">
        <v>20</v>
      </c>
      <c r="T37" s="1" t="s">
        <v>21</v>
      </c>
      <c r="V37" s="1" t="str">
        <f t="shared" si="2"/>
        <v>覆膜缠绕机01_读码完成</v>
      </c>
      <c r="W37" s="4" t="s">
        <v>65</v>
      </c>
      <c r="X37" s="4"/>
      <c r="Y37" s="1" t="s">
        <v>69</v>
      </c>
      <c r="AA37" s="1" t="s">
        <v>34</v>
      </c>
      <c r="AD37" s="1" t="str">
        <f t="shared" si="3"/>
        <v>FMJ01</v>
      </c>
    </row>
    <row r="38" spans="1:30">
      <c r="A38" s="1" t="str">
        <f t="shared" si="0"/>
        <v>TBJ01.ProcessResult</v>
      </c>
      <c r="D38" s="7" t="s">
        <v>127</v>
      </c>
      <c r="F38" s="8" t="s">
        <v>69</v>
      </c>
      <c r="G38" s="1" t="s">
        <v>125</v>
      </c>
      <c r="H38" s="1" t="s">
        <v>338</v>
      </c>
      <c r="I38" s="4" t="s">
        <v>65</v>
      </c>
      <c r="J38" s="1" t="str">
        <f t="shared" si="1"/>
        <v>DB1001.16</v>
      </c>
      <c r="K38" s="1" t="s">
        <v>350</v>
      </c>
      <c r="L38" s="1" t="s">
        <v>18</v>
      </c>
      <c r="M38" s="1">
        <v>1001</v>
      </c>
      <c r="N38" s="1">
        <v>16</v>
      </c>
      <c r="P38" s="1">
        <v>2</v>
      </c>
      <c r="Q38" s="1" t="s">
        <v>346</v>
      </c>
      <c r="R38" s="1" t="str">
        <f t="shared" si="4"/>
        <v/>
      </c>
      <c r="S38" s="1" t="s">
        <v>20</v>
      </c>
      <c r="T38" s="1" t="s">
        <v>21</v>
      </c>
      <c r="V38" s="1" t="str">
        <f t="shared" si="2"/>
        <v>贴标机01_读码完成</v>
      </c>
      <c r="W38" s="4" t="s">
        <v>65</v>
      </c>
      <c r="X38" s="4"/>
      <c r="Y38" s="1" t="s">
        <v>69</v>
      </c>
      <c r="AA38" s="1" t="s">
        <v>34</v>
      </c>
      <c r="AD38" s="1" t="str">
        <f t="shared" si="3"/>
        <v>TBJ01</v>
      </c>
    </row>
  </sheetData>
  <phoneticPr fontId="2" type="noConversion"/>
  <pageMargins left="0.7" right="0.7" top="0.75" bottom="0.75" header="0.3" footer="0.3"/>
  <pageSetup paperSize="9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7"/>
  <sheetViews>
    <sheetView workbookViewId="0">
      <pane xSplit="1" topLeftCell="B1" activePane="topRight" state="frozen"/>
      <selection pane="topRight" activeCell="D2" sqref="D2"/>
    </sheetView>
  </sheetViews>
  <sheetFormatPr defaultColWidth="8.875" defaultRowHeight="14.25"/>
  <cols>
    <col min="1" max="1" width="6.625" style="1" bestFit="1" customWidth="1"/>
    <col min="2" max="2" width="8.625" style="1" bestFit="1" customWidth="1"/>
    <col min="3" max="3" width="13.625" style="1" bestFit="1" customWidth="1"/>
    <col min="4" max="4" width="10.25" style="1" bestFit="1" customWidth="1"/>
    <col min="5" max="5" width="8.75" style="1" bestFit="1" customWidth="1"/>
    <col min="6" max="6" width="7.5" style="1" bestFit="1" customWidth="1"/>
    <col min="7" max="7" width="9.875" style="1" bestFit="1" customWidth="1"/>
    <col min="8" max="8" width="8.875" style="1"/>
    <col min="9" max="9" width="11.875" style="1" bestFit="1" customWidth="1"/>
    <col min="10" max="10" width="8.625" style="1" bestFit="1" customWidth="1"/>
    <col min="11" max="11" width="11" style="1" bestFit="1" customWidth="1"/>
    <col min="12" max="12" width="14.375" style="1" bestFit="1" customWidth="1"/>
    <col min="13" max="16384" width="8.875" style="1"/>
  </cols>
  <sheetData>
    <row r="1" spans="1:12">
      <c r="A1" s="1" t="s">
        <v>70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66</v>
      </c>
      <c r="I1" s="1" t="s">
        <v>271</v>
      </c>
      <c r="J1" s="1" t="s">
        <v>194</v>
      </c>
      <c r="K1" s="1" t="s">
        <v>267</v>
      </c>
      <c r="L1" s="1" t="s">
        <v>268</v>
      </c>
    </row>
    <row r="2" spans="1:12">
      <c r="A2" s="1" t="str">
        <f t="shared" ref="A2:A36" si="0">L2</f>
        <v>PLC01</v>
      </c>
      <c r="B2" s="1" t="s">
        <v>238</v>
      </c>
      <c r="C2" s="1" t="s">
        <v>232</v>
      </c>
      <c r="D2" s="1" t="s">
        <v>362</v>
      </c>
      <c r="E2" s="1">
        <v>0</v>
      </c>
      <c r="F2" s="1" t="b">
        <v>1</v>
      </c>
      <c r="I2" s="1" t="str">
        <f>_xlfn.CONCAT(IF(ISBLANK(J2),"",_xlfn.CONCAT(J2,"_")),L2)</f>
        <v>MDJ1_PLC01</v>
      </c>
      <c r="J2" s="4" t="s">
        <v>60</v>
      </c>
      <c r="K2" s="1" t="s">
        <v>287</v>
      </c>
      <c r="L2" s="1" t="s">
        <v>233</v>
      </c>
    </row>
    <row r="3" spans="1:12">
      <c r="A3" s="1" t="str">
        <f t="shared" si="0"/>
        <v>BZJ01</v>
      </c>
      <c r="B3" s="1" t="s">
        <v>80</v>
      </c>
      <c r="C3" s="1" t="s">
        <v>75</v>
      </c>
      <c r="E3" s="1">
        <v>1</v>
      </c>
      <c r="F3" s="1" t="b">
        <v>1</v>
      </c>
      <c r="I3" s="1" t="str">
        <f>_xlfn.CONCAT(IF(ISBLANK(J3),"",_xlfn.CONCAT(J3,"_")),L3)</f>
        <v>MDJ1_BZJ01</v>
      </c>
      <c r="J3" s="4" t="s">
        <v>60</v>
      </c>
      <c r="K3" s="1" t="s">
        <v>288</v>
      </c>
      <c r="L3" s="1" t="s">
        <v>76</v>
      </c>
    </row>
    <row r="4" spans="1:12">
      <c r="A4" s="1" t="str">
        <f t="shared" si="0"/>
        <v>BZJ02</v>
      </c>
      <c r="B4" s="1" t="s">
        <v>81</v>
      </c>
      <c r="C4" s="1" t="s">
        <v>75</v>
      </c>
      <c r="E4" s="1">
        <v>2</v>
      </c>
      <c r="F4" s="1" t="b">
        <v>1</v>
      </c>
      <c r="I4" s="1" t="str">
        <f t="shared" ref="I4:I36" si="1">_xlfn.CONCAT(IF(ISBLANK(J4),"",_xlfn.CONCAT(J4,"_")),L4)</f>
        <v>MDJ1_BZJ02</v>
      </c>
      <c r="J4" s="4" t="s">
        <v>60</v>
      </c>
      <c r="K4" s="1" t="s">
        <v>289</v>
      </c>
      <c r="L4" s="1" t="s">
        <v>77</v>
      </c>
    </row>
    <row r="5" spans="1:12">
      <c r="A5" s="1" t="str">
        <f t="shared" si="0"/>
        <v>BZJ03</v>
      </c>
      <c r="B5" s="1" t="s">
        <v>82</v>
      </c>
      <c r="C5" s="1" t="s">
        <v>75</v>
      </c>
      <c r="E5" s="1">
        <v>3</v>
      </c>
      <c r="F5" s="1" t="b">
        <v>1</v>
      </c>
      <c r="I5" s="1" t="str">
        <f t="shared" si="1"/>
        <v>MDJ1_BZJ03</v>
      </c>
      <c r="J5" s="4" t="s">
        <v>60</v>
      </c>
      <c r="K5" s="1" t="s">
        <v>290</v>
      </c>
      <c r="L5" s="1" t="s">
        <v>78</v>
      </c>
    </row>
    <row r="6" spans="1:12">
      <c r="A6" s="1" t="str">
        <f t="shared" si="0"/>
        <v>BZJ04</v>
      </c>
      <c r="B6" s="1" t="s">
        <v>83</v>
      </c>
      <c r="C6" s="1" t="s">
        <v>75</v>
      </c>
      <c r="E6" s="1">
        <v>4</v>
      </c>
      <c r="F6" s="1" t="b">
        <v>1</v>
      </c>
      <c r="I6" s="1" t="str">
        <f t="shared" si="1"/>
        <v>MDJ1_BZJ04</v>
      </c>
      <c r="J6" s="4" t="s">
        <v>60</v>
      </c>
      <c r="K6" s="1" t="s">
        <v>291</v>
      </c>
      <c r="L6" s="1" t="s">
        <v>79</v>
      </c>
    </row>
    <row r="7" spans="1:12">
      <c r="A7" s="1" t="str">
        <f t="shared" si="0"/>
        <v>BZJ05</v>
      </c>
      <c r="B7" s="1" t="s">
        <v>84</v>
      </c>
      <c r="C7" s="1" t="s">
        <v>75</v>
      </c>
      <c r="E7" s="1">
        <v>5</v>
      </c>
      <c r="F7" s="1" t="b">
        <v>1</v>
      </c>
      <c r="I7" s="1" t="str">
        <f t="shared" si="1"/>
        <v>MDJ1_BZJ05</v>
      </c>
      <c r="J7" s="4" t="s">
        <v>60</v>
      </c>
      <c r="K7" s="1" t="s">
        <v>292</v>
      </c>
      <c r="L7" s="1" t="s">
        <v>88</v>
      </c>
    </row>
    <row r="8" spans="1:12">
      <c r="A8" s="1" t="str">
        <f t="shared" si="0"/>
        <v>BZJ06</v>
      </c>
      <c r="B8" s="1" t="s">
        <v>85</v>
      </c>
      <c r="C8" s="1" t="s">
        <v>75</v>
      </c>
      <c r="E8" s="1">
        <v>6</v>
      </c>
      <c r="F8" s="1" t="b">
        <v>1</v>
      </c>
      <c r="I8" s="1" t="str">
        <f t="shared" si="1"/>
        <v>MDJ1_BZJ06</v>
      </c>
      <c r="J8" s="4" t="s">
        <v>60</v>
      </c>
      <c r="K8" s="1" t="s">
        <v>293</v>
      </c>
      <c r="L8" s="1" t="s">
        <v>89</v>
      </c>
    </row>
    <row r="9" spans="1:12">
      <c r="A9" s="1" t="str">
        <f t="shared" si="0"/>
        <v>BZJ07</v>
      </c>
      <c r="B9" s="1" t="s">
        <v>86</v>
      </c>
      <c r="C9" s="1" t="s">
        <v>75</v>
      </c>
      <c r="E9" s="1">
        <v>7</v>
      </c>
      <c r="F9" s="1" t="b">
        <v>1</v>
      </c>
      <c r="I9" s="1" t="str">
        <f t="shared" si="1"/>
        <v>MDJ1_BZJ07</v>
      </c>
      <c r="J9" s="4" t="s">
        <v>60</v>
      </c>
      <c r="K9" s="1" t="s">
        <v>294</v>
      </c>
      <c r="L9" s="1" t="s">
        <v>90</v>
      </c>
    </row>
    <row r="10" spans="1:12">
      <c r="A10" s="1" t="str">
        <f t="shared" si="0"/>
        <v>BZJ08</v>
      </c>
      <c r="B10" s="1" t="s">
        <v>87</v>
      </c>
      <c r="C10" s="1" t="s">
        <v>75</v>
      </c>
      <c r="E10" s="1">
        <v>8</v>
      </c>
      <c r="F10" s="1" t="b">
        <v>1</v>
      </c>
      <c r="I10" s="1" t="str">
        <f t="shared" si="1"/>
        <v>MDJ1_BZJ08</v>
      </c>
      <c r="J10" s="4" t="s">
        <v>60</v>
      </c>
      <c r="K10" s="1" t="s">
        <v>295</v>
      </c>
      <c r="L10" s="1" t="s">
        <v>91</v>
      </c>
    </row>
    <row r="11" spans="1:12">
      <c r="A11" s="1" t="str">
        <f t="shared" si="0"/>
        <v>CZJ01</v>
      </c>
      <c r="B11" s="1" t="s">
        <v>119</v>
      </c>
      <c r="C11" s="6" t="s">
        <v>151</v>
      </c>
      <c r="E11" s="1">
        <v>9</v>
      </c>
      <c r="F11" s="1" t="b">
        <v>1</v>
      </c>
      <c r="I11" s="1" t="str">
        <f t="shared" si="1"/>
        <v>MDJ1_CZJ01</v>
      </c>
      <c r="J11" s="4" t="s">
        <v>60</v>
      </c>
      <c r="K11" s="1" t="s">
        <v>296</v>
      </c>
      <c r="L11" s="1" t="s">
        <v>120</v>
      </c>
    </row>
    <row r="12" spans="1:12">
      <c r="A12" s="1" t="str">
        <f t="shared" si="0"/>
        <v>PMJ01</v>
      </c>
      <c r="B12" s="1" t="s">
        <v>262</v>
      </c>
      <c r="C12" s="6" t="s">
        <v>148</v>
      </c>
      <c r="E12" s="1">
        <v>10</v>
      </c>
      <c r="F12" s="1" t="b">
        <v>1</v>
      </c>
      <c r="I12" s="1" t="str">
        <f t="shared" ref="I12" si="2">_xlfn.CONCAT(IF(ISBLANK(J12),"",_xlfn.CONCAT(J12,"_")),L12)</f>
        <v>MDJ1_PMJ01</v>
      </c>
      <c r="J12" s="4" t="s">
        <v>60</v>
      </c>
      <c r="K12" s="1" t="s">
        <v>297</v>
      </c>
      <c r="L12" s="1" t="s">
        <v>147</v>
      </c>
    </row>
    <row r="13" spans="1:12">
      <c r="A13" s="1" t="str">
        <f t="shared" si="0"/>
        <v>MDJ01</v>
      </c>
      <c r="B13" s="1" t="s">
        <v>108</v>
      </c>
      <c r="C13" s="1" t="s">
        <v>59</v>
      </c>
      <c r="E13" s="1">
        <v>11</v>
      </c>
      <c r="F13" s="1" t="b">
        <v>1</v>
      </c>
      <c r="I13" s="1" t="str">
        <f t="shared" si="1"/>
        <v>MDJ1_MDJ01</v>
      </c>
      <c r="J13" s="4" t="s">
        <v>60</v>
      </c>
      <c r="K13" s="4" t="s">
        <v>298</v>
      </c>
      <c r="L13" s="4" t="s">
        <v>61</v>
      </c>
    </row>
    <row r="14" spans="1:12">
      <c r="A14" s="1" t="str">
        <f t="shared" si="0"/>
        <v>MDJ02</v>
      </c>
      <c r="B14" s="1" t="s">
        <v>114</v>
      </c>
      <c r="C14" s="4" t="s">
        <v>59</v>
      </c>
      <c r="E14" s="1">
        <v>12</v>
      </c>
      <c r="F14" s="1" t="b">
        <v>1</v>
      </c>
      <c r="I14" s="1" t="str">
        <f t="shared" si="1"/>
        <v>MDJ1_MDJ02</v>
      </c>
      <c r="J14" s="4" t="s">
        <v>60</v>
      </c>
      <c r="K14" s="4" t="s">
        <v>299</v>
      </c>
      <c r="L14" s="4" t="s">
        <v>109</v>
      </c>
    </row>
    <row r="15" spans="1:12">
      <c r="A15" s="1" t="str">
        <f t="shared" si="0"/>
        <v>MDJ03</v>
      </c>
      <c r="B15" s="1" t="s">
        <v>115</v>
      </c>
      <c r="C15" s="4" t="s">
        <v>59</v>
      </c>
      <c r="E15" s="1">
        <v>13</v>
      </c>
      <c r="F15" s="1" t="b">
        <v>1</v>
      </c>
      <c r="I15" s="1" t="str">
        <f t="shared" si="1"/>
        <v>MDJ1_MDJ03</v>
      </c>
      <c r="J15" s="4" t="s">
        <v>60</v>
      </c>
      <c r="K15" s="4" t="s">
        <v>300</v>
      </c>
      <c r="L15" s="4" t="s">
        <v>110</v>
      </c>
    </row>
    <row r="16" spans="1:12">
      <c r="A16" s="1" t="str">
        <f t="shared" si="0"/>
        <v>CDJ01</v>
      </c>
      <c r="B16" s="1" t="s">
        <v>144</v>
      </c>
      <c r="C16" s="1" t="s">
        <v>72</v>
      </c>
      <c r="E16" s="1">
        <v>14</v>
      </c>
      <c r="F16" s="1" t="b">
        <v>1</v>
      </c>
      <c r="I16" s="1" t="str">
        <f t="shared" si="1"/>
        <v>MDJ1_CDJ01</v>
      </c>
      <c r="J16" s="4" t="s">
        <v>60</v>
      </c>
      <c r="K16" s="1" t="s">
        <v>301</v>
      </c>
      <c r="L16" s="1" t="s">
        <v>62</v>
      </c>
    </row>
    <row r="17" spans="1:12">
      <c r="A17" s="1" t="str">
        <f t="shared" si="0"/>
        <v>FMJ01</v>
      </c>
      <c r="B17" s="1" t="s">
        <v>134</v>
      </c>
      <c r="C17" s="6" t="s">
        <v>135</v>
      </c>
      <c r="E17" s="1">
        <v>15</v>
      </c>
      <c r="F17" s="1" t="b">
        <v>1</v>
      </c>
      <c r="I17" s="1" t="str">
        <f t="shared" ref="I17" si="3">_xlfn.CONCAT(IF(ISBLANK(J17),"",_xlfn.CONCAT(J17,"_")),L17)</f>
        <v>MDJ1_FMJ01</v>
      </c>
      <c r="J17" s="4" t="s">
        <v>60</v>
      </c>
      <c r="K17" s="1" t="s">
        <v>302</v>
      </c>
      <c r="L17" s="1" t="s">
        <v>133</v>
      </c>
    </row>
    <row r="18" spans="1:12">
      <c r="A18" s="1" t="str">
        <f t="shared" si="0"/>
        <v>TBJ01</v>
      </c>
      <c r="B18" s="1" t="s">
        <v>125</v>
      </c>
      <c r="C18" s="6" t="s">
        <v>124</v>
      </c>
      <c r="E18" s="1">
        <v>16</v>
      </c>
      <c r="F18" s="1" t="b">
        <v>1</v>
      </c>
      <c r="I18" s="1" t="str">
        <f t="shared" si="1"/>
        <v>MDJ1_TBJ01</v>
      </c>
      <c r="J18" s="4" t="s">
        <v>60</v>
      </c>
      <c r="K18" s="1" t="s">
        <v>303</v>
      </c>
      <c r="L18" s="1" t="s">
        <v>127</v>
      </c>
    </row>
    <row r="19" spans="1:12">
      <c r="A19" s="1" t="s">
        <v>353</v>
      </c>
      <c r="B19" s="1" t="s">
        <v>354</v>
      </c>
      <c r="C19" s="6" t="s">
        <v>355</v>
      </c>
      <c r="E19" s="1">
        <v>17</v>
      </c>
      <c r="F19" s="1" t="b">
        <v>1</v>
      </c>
      <c r="I19" s="1" t="str">
        <f t="shared" si="1"/>
        <v>MDJ1_JPJ01</v>
      </c>
      <c r="J19" s="4" t="s">
        <v>60</v>
      </c>
      <c r="K19" s="1" t="s">
        <v>356</v>
      </c>
      <c r="L19" s="1" t="s">
        <v>353</v>
      </c>
    </row>
    <row r="20" spans="1:12">
      <c r="A20" s="1" t="str">
        <f t="shared" si="0"/>
        <v>PLC02</v>
      </c>
      <c r="B20" s="1" t="s">
        <v>238</v>
      </c>
      <c r="C20" s="1" t="s">
        <v>232</v>
      </c>
      <c r="E20" s="1">
        <v>0</v>
      </c>
      <c r="F20" s="1" t="b">
        <v>1</v>
      </c>
      <c r="I20" s="1" t="str">
        <f>_xlfn.CONCAT(IF(ISBLANK(J20),"",_xlfn.CONCAT(J20,"_")),L20)</f>
        <v>MDJ2_PLC02</v>
      </c>
      <c r="J20" s="1" t="s">
        <v>74</v>
      </c>
      <c r="K20" s="1" t="s">
        <v>304</v>
      </c>
      <c r="L20" s="1" t="s">
        <v>241</v>
      </c>
    </row>
    <row r="21" spans="1:12">
      <c r="A21" s="1" t="str">
        <f t="shared" si="0"/>
        <v>BZJ09</v>
      </c>
      <c r="B21" s="1" t="s">
        <v>100</v>
      </c>
      <c r="C21" s="1" t="s">
        <v>75</v>
      </c>
      <c r="E21" s="1">
        <v>1</v>
      </c>
      <c r="F21" s="1" t="b">
        <v>1</v>
      </c>
      <c r="I21" s="1" t="str">
        <f t="shared" si="1"/>
        <v>MDJ2_BZJ09</v>
      </c>
      <c r="J21" s="1" t="s">
        <v>74</v>
      </c>
      <c r="K21" s="1" t="s">
        <v>305</v>
      </c>
      <c r="L21" s="1" t="s">
        <v>92</v>
      </c>
    </row>
    <row r="22" spans="1:12">
      <c r="A22" s="1" t="str">
        <f t="shared" si="0"/>
        <v>BZJ10</v>
      </c>
      <c r="B22" s="1" t="s">
        <v>101</v>
      </c>
      <c r="C22" s="1" t="s">
        <v>75</v>
      </c>
      <c r="E22" s="1">
        <v>2</v>
      </c>
      <c r="F22" s="1" t="b">
        <v>1</v>
      </c>
      <c r="I22" s="1" t="str">
        <f t="shared" si="1"/>
        <v>MDJ2_BZJ10</v>
      </c>
      <c r="J22" s="1" t="s">
        <v>74</v>
      </c>
      <c r="K22" s="1" t="s">
        <v>306</v>
      </c>
      <c r="L22" s="1" t="s">
        <v>93</v>
      </c>
    </row>
    <row r="23" spans="1:12">
      <c r="A23" s="1" t="str">
        <f t="shared" si="0"/>
        <v>BZJ11</v>
      </c>
      <c r="B23" s="1" t="s">
        <v>102</v>
      </c>
      <c r="C23" s="1" t="s">
        <v>75</v>
      </c>
      <c r="E23" s="1">
        <v>3</v>
      </c>
      <c r="F23" s="1" t="b">
        <v>1</v>
      </c>
      <c r="I23" s="1" t="str">
        <f t="shared" si="1"/>
        <v>MDJ2_BZJ11</v>
      </c>
      <c r="J23" s="1" t="s">
        <v>74</v>
      </c>
      <c r="K23" s="1" t="s">
        <v>307</v>
      </c>
      <c r="L23" s="1" t="s">
        <v>94</v>
      </c>
    </row>
    <row r="24" spans="1:12">
      <c r="A24" s="1" t="str">
        <f t="shared" si="0"/>
        <v>BZJ12</v>
      </c>
      <c r="B24" s="1" t="s">
        <v>103</v>
      </c>
      <c r="C24" s="1" t="s">
        <v>75</v>
      </c>
      <c r="E24" s="1">
        <v>4</v>
      </c>
      <c r="F24" s="1" t="b">
        <v>1</v>
      </c>
      <c r="I24" s="1" t="str">
        <f t="shared" si="1"/>
        <v>MDJ2_BZJ12</v>
      </c>
      <c r="J24" s="1" t="s">
        <v>74</v>
      </c>
      <c r="K24" s="1" t="s">
        <v>308</v>
      </c>
      <c r="L24" s="1" t="s">
        <v>95</v>
      </c>
    </row>
    <row r="25" spans="1:12">
      <c r="A25" s="1" t="str">
        <f t="shared" si="0"/>
        <v>BZJ13</v>
      </c>
      <c r="B25" s="1" t="s">
        <v>104</v>
      </c>
      <c r="C25" s="1" t="s">
        <v>75</v>
      </c>
      <c r="E25" s="1">
        <v>5</v>
      </c>
      <c r="F25" s="1" t="b">
        <v>1</v>
      </c>
      <c r="I25" s="1" t="str">
        <f t="shared" si="1"/>
        <v>MDJ2_BZJ13</v>
      </c>
      <c r="J25" s="1" t="s">
        <v>74</v>
      </c>
      <c r="K25" s="1" t="s">
        <v>309</v>
      </c>
      <c r="L25" s="1" t="s">
        <v>96</v>
      </c>
    </row>
    <row r="26" spans="1:12">
      <c r="A26" s="1" t="str">
        <f t="shared" si="0"/>
        <v>BZJ14</v>
      </c>
      <c r="B26" s="1" t="s">
        <v>105</v>
      </c>
      <c r="C26" s="1" t="s">
        <v>75</v>
      </c>
      <c r="E26" s="1">
        <v>6</v>
      </c>
      <c r="F26" s="1" t="b">
        <v>1</v>
      </c>
      <c r="I26" s="1" t="str">
        <f t="shared" si="1"/>
        <v>MDJ2_BZJ14</v>
      </c>
      <c r="J26" s="1" t="s">
        <v>74</v>
      </c>
      <c r="K26" s="1" t="s">
        <v>310</v>
      </c>
      <c r="L26" s="1" t="s">
        <v>97</v>
      </c>
    </row>
    <row r="27" spans="1:12">
      <c r="A27" s="1" t="str">
        <f t="shared" si="0"/>
        <v>BZJ15</v>
      </c>
      <c r="B27" s="1" t="s">
        <v>106</v>
      </c>
      <c r="C27" s="1" t="s">
        <v>75</v>
      </c>
      <c r="E27" s="1">
        <v>7</v>
      </c>
      <c r="F27" s="1" t="b">
        <v>1</v>
      </c>
      <c r="I27" s="1" t="str">
        <f t="shared" si="1"/>
        <v>MDJ2_BZJ15</v>
      </c>
      <c r="J27" s="1" t="s">
        <v>74</v>
      </c>
      <c r="K27" s="1" t="s">
        <v>311</v>
      </c>
      <c r="L27" s="1" t="s">
        <v>98</v>
      </c>
    </row>
    <row r="28" spans="1:12">
      <c r="A28" s="1" t="str">
        <f t="shared" si="0"/>
        <v>BZJ16</v>
      </c>
      <c r="B28" s="1" t="s">
        <v>107</v>
      </c>
      <c r="C28" s="1" t="s">
        <v>75</v>
      </c>
      <c r="E28" s="1">
        <v>8</v>
      </c>
      <c r="F28" s="1" t="b">
        <v>1</v>
      </c>
      <c r="I28" s="1" t="str">
        <f t="shared" si="1"/>
        <v>MDJ2_BZJ16</v>
      </c>
      <c r="J28" s="1" t="s">
        <v>74</v>
      </c>
      <c r="K28" s="1" t="s">
        <v>312</v>
      </c>
      <c r="L28" s="1" t="s">
        <v>99</v>
      </c>
    </row>
    <row r="29" spans="1:12">
      <c r="A29" s="1" t="str">
        <f t="shared" si="0"/>
        <v>CZJ02</v>
      </c>
      <c r="B29" s="1" t="s">
        <v>122</v>
      </c>
      <c r="C29" s="6" t="s">
        <v>123</v>
      </c>
      <c r="E29" s="1">
        <v>9</v>
      </c>
      <c r="F29" s="1" t="b">
        <v>1</v>
      </c>
      <c r="I29" s="1" t="str">
        <f t="shared" si="1"/>
        <v>MDJ2_CZJ02</v>
      </c>
      <c r="J29" s="1" t="s">
        <v>74</v>
      </c>
      <c r="K29" s="1" t="s">
        <v>313</v>
      </c>
      <c r="L29" s="1" t="s">
        <v>121</v>
      </c>
    </row>
    <row r="30" spans="1:12">
      <c r="A30" s="1" t="str">
        <f t="shared" si="0"/>
        <v>PMJ02</v>
      </c>
      <c r="B30" s="1" t="s">
        <v>277</v>
      </c>
      <c r="C30" s="6" t="s">
        <v>148</v>
      </c>
      <c r="E30" s="1">
        <v>10</v>
      </c>
      <c r="F30" s="1" t="b">
        <v>1</v>
      </c>
      <c r="I30" s="1" t="str">
        <f t="shared" si="1"/>
        <v>MDJ1_PMJ02</v>
      </c>
      <c r="J30" s="4" t="s">
        <v>60</v>
      </c>
      <c r="K30" s="1" t="s">
        <v>314</v>
      </c>
      <c r="L30" s="1" t="s">
        <v>275</v>
      </c>
    </row>
    <row r="31" spans="1:12">
      <c r="A31" s="1" t="str">
        <f t="shared" si="0"/>
        <v>MDJ04</v>
      </c>
      <c r="B31" s="1" t="s">
        <v>116</v>
      </c>
      <c r="C31" s="4" t="s">
        <v>59</v>
      </c>
      <c r="E31" s="1">
        <v>11</v>
      </c>
      <c r="F31" s="1" t="b">
        <v>1</v>
      </c>
      <c r="I31" s="1" t="str">
        <f t="shared" si="1"/>
        <v>MDJ2_MDJ04</v>
      </c>
      <c r="J31" s="1" t="s">
        <v>74</v>
      </c>
      <c r="K31" s="4" t="s">
        <v>315</v>
      </c>
      <c r="L31" s="4" t="s">
        <v>111</v>
      </c>
    </row>
    <row r="32" spans="1:12">
      <c r="A32" s="1" t="str">
        <f t="shared" si="0"/>
        <v>MDJ05</v>
      </c>
      <c r="B32" s="1" t="s">
        <v>117</v>
      </c>
      <c r="C32" s="4" t="s">
        <v>59</v>
      </c>
      <c r="E32" s="1">
        <v>12</v>
      </c>
      <c r="F32" s="1" t="b">
        <v>1</v>
      </c>
      <c r="I32" s="1" t="str">
        <f t="shared" si="1"/>
        <v>MDJ2_MDJ05</v>
      </c>
      <c r="J32" s="1" t="s">
        <v>74</v>
      </c>
      <c r="K32" s="4" t="s">
        <v>316</v>
      </c>
      <c r="L32" s="4" t="s">
        <v>112</v>
      </c>
    </row>
    <row r="33" spans="1:12">
      <c r="A33" s="1" t="str">
        <f t="shared" si="0"/>
        <v>MDJ06</v>
      </c>
      <c r="B33" s="1" t="s">
        <v>118</v>
      </c>
      <c r="C33" s="4" t="s">
        <v>59</v>
      </c>
      <c r="E33" s="1">
        <v>13</v>
      </c>
      <c r="F33" s="1" t="b">
        <v>1</v>
      </c>
      <c r="I33" s="1" t="str">
        <f t="shared" si="1"/>
        <v>MDJ2_MDJ06</v>
      </c>
      <c r="J33" s="1" t="s">
        <v>74</v>
      </c>
      <c r="K33" s="4" t="s">
        <v>317</v>
      </c>
      <c r="L33" s="4" t="s">
        <v>113</v>
      </c>
    </row>
    <row r="34" spans="1:12">
      <c r="A34" s="1" t="str">
        <f t="shared" si="0"/>
        <v>CDJ02</v>
      </c>
      <c r="B34" s="1" t="s">
        <v>146</v>
      </c>
      <c r="C34" s="1" t="s">
        <v>72</v>
      </c>
      <c r="E34" s="1">
        <v>14</v>
      </c>
      <c r="F34" s="1" t="b">
        <v>1</v>
      </c>
      <c r="I34" s="1" t="str">
        <f t="shared" ref="I34" si="4">_xlfn.CONCAT(IF(ISBLANK(J34),"",_xlfn.CONCAT(J34,"_")),L34)</f>
        <v>MDJ2_CDJ02</v>
      </c>
      <c r="J34" s="1" t="s">
        <v>74</v>
      </c>
      <c r="K34" s="1" t="s">
        <v>318</v>
      </c>
      <c r="L34" s="1" t="s">
        <v>145</v>
      </c>
    </row>
    <row r="35" spans="1:12">
      <c r="A35" s="1" t="str">
        <f t="shared" si="0"/>
        <v>FMJ02</v>
      </c>
      <c r="B35" s="1" t="s">
        <v>137</v>
      </c>
      <c r="C35" s="6" t="s">
        <v>135</v>
      </c>
      <c r="E35" s="1">
        <v>15</v>
      </c>
      <c r="F35" s="1" t="b">
        <v>1</v>
      </c>
      <c r="I35" s="1" t="str">
        <f t="shared" si="1"/>
        <v>MDJ2_FMJ02</v>
      </c>
      <c r="J35" s="1" t="s">
        <v>74</v>
      </c>
      <c r="K35" s="1" t="s">
        <v>319</v>
      </c>
      <c r="L35" s="1" t="s">
        <v>136</v>
      </c>
    </row>
    <row r="36" spans="1:12">
      <c r="A36" s="1" t="str">
        <f t="shared" si="0"/>
        <v>TBJ02</v>
      </c>
      <c r="B36" s="1" t="s">
        <v>126</v>
      </c>
      <c r="C36" s="6" t="s">
        <v>124</v>
      </c>
      <c r="E36" s="1">
        <v>16</v>
      </c>
      <c r="F36" s="1" t="b">
        <v>1</v>
      </c>
      <c r="I36" s="1" t="str">
        <f t="shared" si="1"/>
        <v>MDJ2_TBJ02</v>
      </c>
      <c r="J36" s="1" t="s">
        <v>74</v>
      </c>
      <c r="K36" s="4" t="s">
        <v>320</v>
      </c>
      <c r="L36" s="1" t="s">
        <v>128</v>
      </c>
    </row>
    <row r="37" spans="1:12">
      <c r="A37" s="1" t="s">
        <v>358</v>
      </c>
      <c r="B37" s="1" t="s">
        <v>357</v>
      </c>
      <c r="C37" s="6" t="s">
        <v>355</v>
      </c>
      <c r="E37" s="1">
        <v>17</v>
      </c>
      <c r="F37" s="1" t="b">
        <v>1</v>
      </c>
      <c r="I37" s="1" t="str">
        <f t="shared" ref="I37" si="5">_xlfn.CONCAT(IF(ISBLANK(J37),"",_xlfn.CONCAT(J37,"_")),L37)</f>
        <v>MDJ2_JPJ02</v>
      </c>
      <c r="J37" s="1" t="s">
        <v>74</v>
      </c>
      <c r="K37" s="1" t="s">
        <v>359</v>
      </c>
      <c r="L37" s="1" t="s">
        <v>358</v>
      </c>
    </row>
  </sheetData>
  <phoneticPr fontId="2" type="noConversion"/>
  <pageMargins left="0.7" right="0.7" top="0.75" bottom="0.75" header="0.3" footer="0.3"/>
  <pageSetup paperSize="9" orientation="portrait" horizontalDpi="203" verticalDpi="20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CA4B-91B2-4B42-9A2C-43FCA542F059}">
  <dimension ref="A1:L37"/>
  <sheetViews>
    <sheetView workbookViewId="0">
      <pane xSplit="1" topLeftCell="B1" activePane="topRight" state="frozen"/>
      <selection pane="topRight" activeCell="A2" sqref="A2"/>
    </sheetView>
  </sheetViews>
  <sheetFormatPr defaultColWidth="7.125" defaultRowHeight="14.25"/>
  <cols>
    <col min="1" max="1" width="11.375" style="1" bestFit="1" customWidth="1"/>
    <col min="2" max="2" width="10.625" style="1" bestFit="1" customWidth="1"/>
    <col min="3" max="3" width="8.625" style="1" bestFit="1" customWidth="1"/>
    <col min="4" max="4" width="17.25" style="1" bestFit="1" customWidth="1"/>
    <col min="5" max="5" width="8.75" style="1" bestFit="1" customWidth="1"/>
    <col min="6" max="6" width="7.5" style="1" bestFit="1" customWidth="1"/>
    <col min="7" max="7" width="9.875" style="1" bestFit="1" customWidth="1"/>
    <col min="8" max="8" width="15.5" style="1" bestFit="1" customWidth="1"/>
    <col min="9" max="10" width="7.125" style="1"/>
    <col min="11" max="11" width="14.375" style="1" bestFit="1" customWidth="1"/>
    <col min="12" max="12" width="13.625" style="1" bestFit="1" customWidth="1"/>
    <col min="13" max="16384" width="7.125" style="1"/>
  </cols>
  <sheetData>
    <row r="1" spans="1:12">
      <c r="A1" s="4" t="s">
        <v>70</v>
      </c>
      <c r="B1" s="1" t="s">
        <v>35</v>
      </c>
      <c r="C1" s="1" t="s">
        <v>194</v>
      </c>
      <c r="D1" s="1" t="s">
        <v>36</v>
      </c>
      <c r="E1" s="1" t="s">
        <v>38</v>
      </c>
      <c r="F1" s="1" t="s">
        <v>39</v>
      </c>
      <c r="G1" s="1" t="s">
        <v>66</v>
      </c>
      <c r="H1" s="1" t="s">
        <v>195</v>
      </c>
    </row>
    <row r="2" spans="1:12">
      <c r="A2" s="1" t="str">
        <f t="shared" ref="A2:A37" si="0">_xlfn.CONCAT(J2,"_",K2)</f>
        <v>WS_PLC01</v>
      </c>
      <c r="B2" s="1" t="s">
        <v>231</v>
      </c>
      <c r="C2" s="1" t="s">
        <v>60</v>
      </c>
      <c r="D2" s="1" t="str">
        <f>_xlfn.CONCAT(J2,"_",L2)</f>
        <v>WS_System</v>
      </c>
      <c r="E2" s="1">
        <v>0</v>
      </c>
      <c r="F2" s="1" t="b">
        <v>1</v>
      </c>
      <c r="H2" s="1" t="s">
        <v>21</v>
      </c>
      <c r="J2" s="1" t="s">
        <v>269</v>
      </c>
      <c r="K2" s="1" t="s">
        <v>233</v>
      </c>
      <c r="L2" s="1" t="s">
        <v>232</v>
      </c>
    </row>
    <row r="3" spans="1:12">
      <c r="A3" s="1" t="str">
        <f t="shared" si="0"/>
        <v>WS_BZJ01</v>
      </c>
      <c r="B3" s="1" t="s">
        <v>152</v>
      </c>
      <c r="C3" s="1" t="s">
        <v>60</v>
      </c>
      <c r="D3" s="1" t="str">
        <f t="shared" ref="D3:D37" si="1">_xlfn.CONCAT(J3,"_",L3)</f>
        <v>WS_Packaging</v>
      </c>
      <c r="E3" s="1">
        <v>1</v>
      </c>
      <c r="F3" s="1" t="b">
        <v>1</v>
      </c>
      <c r="H3" s="1" t="s">
        <v>278</v>
      </c>
      <c r="J3" s="1" t="s">
        <v>269</v>
      </c>
      <c r="K3" s="1" t="s">
        <v>76</v>
      </c>
      <c r="L3" s="1" t="s">
        <v>75</v>
      </c>
    </row>
    <row r="4" spans="1:12">
      <c r="A4" s="1" t="str">
        <f t="shared" si="0"/>
        <v>WS_BZJ02</v>
      </c>
      <c r="B4" s="1" t="s">
        <v>153</v>
      </c>
      <c r="C4" s="4" t="s">
        <v>60</v>
      </c>
      <c r="D4" s="1" t="str">
        <f t="shared" si="1"/>
        <v>WS_Packaging</v>
      </c>
      <c r="E4" s="1">
        <v>2</v>
      </c>
      <c r="F4" s="1" t="b">
        <v>1</v>
      </c>
      <c r="H4" s="1" t="s">
        <v>77</v>
      </c>
      <c r="J4" s="1" t="s">
        <v>269</v>
      </c>
      <c r="K4" s="1" t="s">
        <v>77</v>
      </c>
      <c r="L4" s="1" t="s">
        <v>75</v>
      </c>
    </row>
    <row r="5" spans="1:12">
      <c r="A5" s="1" t="str">
        <f t="shared" si="0"/>
        <v>WS_BZJ03</v>
      </c>
      <c r="B5" s="1" t="s">
        <v>154</v>
      </c>
      <c r="C5" s="4" t="s">
        <v>60</v>
      </c>
      <c r="D5" s="1" t="str">
        <f t="shared" si="1"/>
        <v>WS_Packaging</v>
      </c>
      <c r="E5" s="1">
        <v>3</v>
      </c>
      <c r="F5" s="1" t="b">
        <v>1</v>
      </c>
      <c r="H5" s="1" t="s">
        <v>78</v>
      </c>
      <c r="J5" s="1" t="s">
        <v>269</v>
      </c>
      <c r="K5" s="1" t="s">
        <v>78</v>
      </c>
      <c r="L5" s="1" t="s">
        <v>75</v>
      </c>
    </row>
    <row r="6" spans="1:12">
      <c r="A6" s="1" t="str">
        <f t="shared" si="0"/>
        <v>WS_BZJ04</v>
      </c>
      <c r="B6" s="1" t="s">
        <v>155</v>
      </c>
      <c r="C6" s="4" t="s">
        <v>60</v>
      </c>
      <c r="D6" s="1" t="str">
        <f t="shared" si="1"/>
        <v>WS_Packaging</v>
      </c>
      <c r="E6" s="1">
        <v>4</v>
      </c>
      <c r="F6" s="1" t="b">
        <v>1</v>
      </c>
      <c r="H6" s="1" t="s">
        <v>79</v>
      </c>
      <c r="J6" s="1" t="s">
        <v>269</v>
      </c>
      <c r="K6" s="1" t="s">
        <v>79</v>
      </c>
      <c r="L6" s="1" t="s">
        <v>75</v>
      </c>
    </row>
    <row r="7" spans="1:12">
      <c r="A7" s="1" t="str">
        <f t="shared" si="0"/>
        <v>WS_BZJ05</v>
      </c>
      <c r="B7" s="1" t="s">
        <v>156</v>
      </c>
      <c r="C7" s="4" t="s">
        <v>60</v>
      </c>
      <c r="D7" s="1" t="str">
        <f t="shared" si="1"/>
        <v>WS_Packaging</v>
      </c>
      <c r="E7" s="1">
        <v>5</v>
      </c>
      <c r="F7" s="1" t="b">
        <v>1</v>
      </c>
      <c r="H7" s="1" t="s">
        <v>88</v>
      </c>
      <c r="J7" s="1" t="s">
        <v>269</v>
      </c>
      <c r="K7" s="1" t="s">
        <v>88</v>
      </c>
      <c r="L7" s="1" t="s">
        <v>75</v>
      </c>
    </row>
    <row r="8" spans="1:12">
      <c r="A8" s="1" t="str">
        <f t="shared" si="0"/>
        <v>WS_BZJ06</v>
      </c>
      <c r="B8" s="1" t="s">
        <v>157</v>
      </c>
      <c r="C8" s="4" t="s">
        <v>60</v>
      </c>
      <c r="D8" s="1" t="str">
        <f t="shared" si="1"/>
        <v>WS_Packaging</v>
      </c>
      <c r="E8" s="1">
        <v>6</v>
      </c>
      <c r="F8" s="1" t="b">
        <v>1</v>
      </c>
      <c r="H8" s="1" t="s">
        <v>89</v>
      </c>
      <c r="J8" s="1" t="s">
        <v>269</v>
      </c>
      <c r="K8" s="1" t="s">
        <v>89</v>
      </c>
      <c r="L8" s="1" t="s">
        <v>75</v>
      </c>
    </row>
    <row r="9" spans="1:12">
      <c r="A9" s="1" t="str">
        <f t="shared" si="0"/>
        <v>WS_BZJ07</v>
      </c>
      <c r="B9" s="1" t="s">
        <v>158</v>
      </c>
      <c r="C9" s="4" t="s">
        <v>60</v>
      </c>
      <c r="D9" s="1" t="str">
        <f t="shared" si="1"/>
        <v>WS_Packaging</v>
      </c>
      <c r="E9" s="1">
        <v>7</v>
      </c>
      <c r="F9" s="1" t="b">
        <v>1</v>
      </c>
      <c r="H9" s="1" t="s">
        <v>90</v>
      </c>
      <c r="J9" s="1" t="s">
        <v>269</v>
      </c>
      <c r="K9" s="1" t="s">
        <v>90</v>
      </c>
      <c r="L9" s="1" t="s">
        <v>75</v>
      </c>
    </row>
    <row r="10" spans="1:12">
      <c r="A10" s="1" t="str">
        <f t="shared" si="0"/>
        <v>WS_BZJ08</v>
      </c>
      <c r="B10" s="1" t="s">
        <v>159</v>
      </c>
      <c r="C10" s="4" t="s">
        <v>60</v>
      </c>
      <c r="D10" s="1" t="str">
        <f t="shared" si="1"/>
        <v>WS_Packaging</v>
      </c>
      <c r="E10" s="1">
        <v>8</v>
      </c>
      <c r="F10" s="1" t="b">
        <v>1</v>
      </c>
      <c r="H10" s="1" t="s">
        <v>91</v>
      </c>
      <c r="J10" s="1" t="s">
        <v>269</v>
      </c>
      <c r="K10" s="1" t="s">
        <v>91</v>
      </c>
      <c r="L10" s="1" t="s">
        <v>75</v>
      </c>
    </row>
    <row r="11" spans="1:12">
      <c r="A11" s="1" t="str">
        <f t="shared" si="0"/>
        <v>WS_CZJ01</v>
      </c>
      <c r="B11" s="1" t="s">
        <v>160</v>
      </c>
      <c r="C11" s="4" t="s">
        <v>60</v>
      </c>
      <c r="D11" s="1" t="str">
        <f t="shared" si="1"/>
        <v>WS_Checkweigher</v>
      </c>
      <c r="E11" s="1">
        <v>9</v>
      </c>
      <c r="F11" s="1" t="b">
        <v>1</v>
      </c>
      <c r="H11" s="1" t="s">
        <v>279</v>
      </c>
      <c r="J11" s="1" t="s">
        <v>269</v>
      </c>
      <c r="K11" s="1" t="s">
        <v>120</v>
      </c>
      <c r="L11" s="6" t="s">
        <v>151</v>
      </c>
    </row>
    <row r="12" spans="1:12">
      <c r="A12" s="1" t="str">
        <f t="shared" si="0"/>
        <v>WS_PMJ01</v>
      </c>
      <c r="B12" s="1" t="s">
        <v>161</v>
      </c>
      <c r="C12" s="4" t="s">
        <v>60</v>
      </c>
      <c r="D12" s="1" t="str">
        <f t="shared" si="1"/>
        <v>WS_Inkjet</v>
      </c>
      <c r="E12" s="1">
        <v>10</v>
      </c>
      <c r="F12" s="1" t="b">
        <v>1</v>
      </c>
      <c r="H12" s="1" t="s">
        <v>272</v>
      </c>
      <c r="J12" s="1" t="s">
        <v>269</v>
      </c>
      <c r="K12" s="1" t="s">
        <v>147</v>
      </c>
      <c r="L12" s="1" t="s">
        <v>148</v>
      </c>
    </row>
    <row r="13" spans="1:12">
      <c r="A13" s="1" t="str">
        <f t="shared" si="0"/>
        <v>WS_MDJ01</v>
      </c>
      <c r="B13" s="1" t="s">
        <v>183</v>
      </c>
      <c r="C13" s="4" t="s">
        <v>60</v>
      </c>
      <c r="D13" s="1" t="str">
        <f t="shared" si="1"/>
        <v>WS_Palletizer</v>
      </c>
      <c r="E13" s="1">
        <v>11</v>
      </c>
      <c r="F13" s="1" t="b">
        <v>1</v>
      </c>
      <c r="H13" s="1" t="s">
        <v>280</v>
      </c>
      <c r="J13" s="1" t="s">
        <v>269</v>
      </c>
      <c r="K13" s="4" t="s">
        <v>61</v>
      </c>
      <c r="L13" s="1" t="s">
        <v>59</v>
      </c>
    </row>
    <row r="14" spans="1:12">
      <c r="A14" s="1" t="str">
        <f t="shared" si="0"/>
        <v>WS_MDJ02</v>
      </c>
      <c r="B14" s="1" t="s">
        <v>162</v>
      </c>
      <c r="C14" s="4" t="s">
        <v>60</v>
      </c>
      <c r="D14" s="1" t="str">
        <f t="shared" si="1"/>
        <v>WS_Palletizer</v>
      </c>
      <c r="E14" s="1">
        <v>12</v>
      </c>
      <c r="F14" s="1" t="b">
        <v>1</v>
      </c>
      <c r="H14" s="1" t="s">
        <v>109</v>
      </c>
      <c r="J14" s="1" t="s">
        <v>269</v>
      </c>
      <c r="K14" s="4" t="s">
        <v>109</v>
      </c>
      <c r="L14" s="4" t="s">
        <v>59</v>
      </c>
    </row>
    <row r="15" spans="1:12">
      <c r="A15" s="1" t="str">
        <f t="shared" si="0"/>
        <v>WS_MDJ03</v>
      </c>
      <c r="B15" s="1" t="s">
        <v>163</v>
      </c>
      <c r="C15" s="4" t="s">
        <v>60</v>
      </c>
      <c r="D15" s="1" t="str">
        <f t="shared" si="1"/>
        <v>WS_Palletizer</v>
      </c>
      <c r="E15" s="1">
        <v>13</v>
      </c>
      <c r="F15" s="1" t="b">
        <v>1</v>
      </c>
      <c r="H15" s="1" t="s">
        <v>110</v>
      </c>
      <c r="J15" s="1" t="s">
        <v>269</v>
      </c>
      <c r="K15" s="4" t="s">
        <v>110</v>
      </c>
      <c r="L15" s="4" t="s">
        <v>59</v>
      </c>
    </row>
    <row r="16" spans="1:12">
      <c r="A16" s="1" t="str">
        <f t="shared" si="0"/>
        <v>WS_CDJ01</v>
      </c>
      <c r="B16" s="1" t="s">
        <v>164</v>
      </c>
      <c r="C16" s="4" t="s">
        <v>60</v>
      </c>
      <c r="D16" s="1" t="str">
        <f t="shared" si="1"/>
        <v>WS_PalletOut</v>
      </c>
      <c r="E16" s="1">
        <v>14</v>
      </c>
      <c r="F16" s="1" t="b">
        <v>1</v>
      </c>
      <c r="H16" s="1" t="s">
        <v>281</v>
      </c>
      <c r="J16" s="1" t="s">
        <v>269</v>
      </c>
      <c r="K16" s="1" t="s">
        <v>62</v>
      </c>
      <c r="L16" s="1" t="s">
        <v>72</v>
      </c>
    </row>
    <row r="17" spans="1:12">
      <c r="A17" s="1" t="str">
        <f t="shared" si="0"/>
        <v>WS_FMJ01</v>
      </c>
      <c r="B17" s="1" t="s">
        <v>165</v>
      </c>
      <c r="C17" s="4" t="s">
        <v>60</v>
      </c>
      <c r="D17" s="1" t="str">
        <f t="shared" si="1"/>
        <v>WS_StretchWrapper</v>
      </c>
      <c r="E17" s="1">
        <v>15</v>
      </c>
      <c r="F17" s="1" t="b">
        <v>1</v>
      </c>
      <c r="H17" s="1" t="s">
        <v>282</v>
      </c>
      <c r="J17" s="1" t="s">
        <v>269</v>
      </c>
      <c r="K17" s="1" t="s">
        <v>133</v>
      </c>
      <c r="L17" s="6" t="s">
        <v>135</v>
      </c>
    </row>
    <row r="18" spans="1:12">
      <c r="A18" s="1" t="str">
        <f t="shared" si="0"/>
        <v>WS_TBJ01</v>
      </c>
      <c r="B18" s="1" t="s">
        <v>166</v>
      </c>
      <c r="C18" s="4" t="s">
        <v>60</v>
      </c>
      <c r="D18" s="1" t="str">
        <f t="shared" si="1"/>
        <v>WS_Labeling</v>
      </c>
      <c r="E18" s="1">
        <v>16</v>
      </c>
      <c r="F18" s="1" t="b">
        <v>1</v>
      </c>
      <c r="H18" s="1" t="s">
        <v>283</v>
      </c>
      <c r="J18" s="1" t="s">
        <v>269</v>
      </c>
      <c r="K18" s="1" t="s">
        <v>127</v>
      </c>
      <c r="L18" s="6" t="s">
        <v>244</v>
      </c>
    </row>
    <row r="19" spans="1:12">
      <c r="A19" s="1" t="str">
        <f t="shared" ref="A19" si="2">_xlfn.CONCAT(J19,"_",K19)</f>
        <v>WS_JPJ01</v>
      </c>
      <c r="B19" s="1" t="s">
        <v>361</v>
      </c>
      <c r="C19" s="4" t="s">
        <v>60</v>
      </c>
      <c r="D19" s="1" t="str">
        <f t="shared" ref="D19" si="3">_xlfn.CONCAT(J19,"_",L19)</f>
        <v>WS_PalletStack</v>
      </c>
      <c r="E19" s="1">
        <v>17</v>
      </c>
      <c r="F19" s="1" t="b">
        <v>1</v>
      </c>
      <c r="H19" s="1" t="s">
        <v>353</v>
      </c>
      <c r="J19" s="1" t="s">
        <v>269</v>
      </c>
      <c r="K19" s="1" t="s">
        <v>353</v>
      </c>
      <c r="L19" s="6" t="s">
        <v>355</v>
      </c>
    </row>
    <row r="20" spans="1:12">
      <c r="A20" s="1" t="str">
        <f t="shared" si="0"/>
        <v>WS_PLC02</v>
      </c>
      <c r="B20" s="1" t="s">
        <v>242</v>
      </c>
      <c r="C20" s="1" t="s">
        <v>74</v>
      </c>
      <c r="D20" s="1" t="str">
        <f t="shared" si="1"/>
        <v>WS_System</v>
      </c>
      <c r="E20" s="1">
        <v>0</v>
      </c>
      <c r="F20" s="1" t="b">
        <v>1</v>
      </c>
      <c r="H20" s="1" t="s">
        <v>284</v>
      </c>
      <c r="J20" s="1" t="s">
        <v>269</v>
      </c>
      <c r="K20" s="1" t="s">
        <v>241</v>
      </c>
      <c r="L20" s="1" t="s">
        <v>232</v>
      </c>
    </row>
    <row r="21" spans="1:12">
      <c r="A21" s="1" t="str">
        <f t="shared" si="0"/>
        <v>WS_BZJ09</v>
      </c>
      <c r="B21" s="1" t="s">
        <v>167</v>
      </c>
      <c r="C21" s="1" t="s">
        <v>74</v>
      </c>
      <c r="D21" s="1" t="str">
        <f t="shared" si="1"/>
        <v>WS_Packaging</v>
      </c>
      <c r="E21" s="1">
        <v>1</v>
      </c>
      <c r="F21" s="1" t="b">
        <v>1</v>
      </c>
      <c r="H21" s="1" t="s">
        <v>92</v>
      </c>
      <c r="J21" s="1" t="s">
        <v>269</v>
      </c>
      <c r="K21" s="1" t="s">
        <v>92</v>
      </c>
      <c r="L21" s="1" t="s">
        <v>75</v>
      </c>
    </row>
    <row r="22" spans="1:12">
      <c r="A22" s="1" t="str">
        <f t="shared" si="0"/>
        <v>WS_BZJ10</v>
      </c>
      <c r="B22" s="1" t="s">
        <v>168</v>
      </c>
      <c r="C22" s="1" t="s">
        <v>74</v>
      </c>
      <c r="D22" s="1" t="str">
        <f t="shared" si="1"/>
        <v>WS_Packaging</v>
      </c>
      <c r="E22" s="1">
        <v>2</v>
      </c>
      <c r="F22" s="1" t="b">
        <v>1</v>
      </c>
      <c r="H22" s="1" t="s">
        <v>93</v>
      </c>
      <c r="J22" s="1" t="s">
        <v>269</v>
      </c>
      <c r="K22" s="1" t="s">
        <v>93</v>
      </c>
      <c r="L22" s="1" t="s">
        <v>75</v>
      </c>
    </row>
    <row r="23" spans="1:12">
      <c r="A23" s="1" t="str">
        <f t="shared" si="0"/>
        <v>WS_BZJ11</v>
      </c>
      <c r="B23" s="1" t="s">
        <v>169</v>
      </c>
      <c r="C23" s="1" t="s">
        <v>74</v>
      </c>
      <c r="D23" s="1" t="str">
        <f t="shared" si="1"/>
        <v>WS_Packaging</v>
      </c>
      <c r="E23" s="1">
        <v>3</v>
      </c>
      <c r="F23" s="1" t="b">
        <v>1</v>
      </c>
      <c r="H23" s="1" t="s">
        <v>94</v>
      </c>
      <c r="J23" s="1" t="s">
        <v>269</v>
      </c>
      <c r="K23" s="1" t="s">
        <v>94</v>
      </c>
      <c r="L23" s="1" t="s">
        <v>75</v>
      </c>
    </row>
    <row r="24" spans="1:12">
      <c r="A24" s="1" t="str">
        <f t="shared" si="0"/>
        <v>WS_BZJ12</v>
      </c>
      <c r="B24" s="1" t="s">
        <v>170</v>
      </c>
      <c r="C24" s="1" t="s">
        <v>74</v>
      </c>
      <c r="D24" s="1" t="str">
        <f t="shared" si="1"/>
        <v>WS_Packaging</v>
      </c>
      <c r="E24" s="1">
        <v>4</v>
      </c>
      <c r="F24" s="1" t="b">
        <v>1</v>
      </c>
      <c r="H24" s="1" t="s">
        <v>95</v>
      </c>
      <c r="J24" s="1" t="s">
        <v>269</v>
      </c>
      <c r="K24" s="1" t="s">
        <v>95</v>
      </c>
      <c r="L24" s="1" t="s">
        <v>75</v>
      </c>
    </row>
    <row r="25" spans="1:12">
      <c r="A25" s="1" t="str">
        <f t="shared" si="0"/>
        <v>WS_BZJ13</v>
      </c>
      <c r="B25" s="1" t="s">
        <v>171</v>
      </c>
      <c r="C25" s="1" t="s">
        <v>74</v>
      </c>
      <c r="D25" s="1" t="str">
        <f t="shared" si="1"/>
        <v>WS_Packaging</v>
      </c>
      <c r="E25" s="1">
        <v>5</v>
      </c>
      <c r="F25" s="1" t="b">
        <v>1</v>
      </c>
      <c r="H25" s="1" t="s">
        <v>96</v>
      </c>
      <c r="J25" s="1" t="s">
        <v>269</v>
      </c>
      <c r="K25" s="1" t="s">
        <v>96</v>
      </c>
      <c r="L25" s="1" t="s">
        <v>75</v>
      </c>
    </row>
    <row r="26" spans="1:12">
      <c r="A26" s="1" t="str">
        <f t="shared" si="0"/>
        <v>WS_BZJ14</v>
      </c>
      <c r="B26" s="1" t="s">
        <v>172</v>
      </c>
      <c r="C26" s="1" t="s">
        <v>74</v>
      </c>
      <c r="D26" s="1" t="str">
        <f t="shared" si="1"/>
        <v>WS_Packaging</v>
      </c>
      <c r="E26" s="1">
        <v>6</v>
      </c>
      <c r="F26" s="1" t="b">
        <v>1</v>
      </c>
      <c r="H26" s="1" t="s">
        <v>97</v>
      </c>
      <c r="J26" s="1" t="s">
        <v>269</v>
      </c>
      <c r="K26" s="1" t="s">
        <v>97</v>
      </c>
      <c r="L26" s="1" t="s">
        <v>75</v>
      </c>
    </row>
    <row r="27" spans="1:12">
      <c r="A27" s="1" t="str">
        <f t="shared" si="0"/>
        <v>WS_BZJ15</v>
      </c>
      <c r="B27" s="1" t="s">
        <v>173</v>
      </c>
      <c r="C27" s="1" t="s">
        <v>74</v>
      </c>
      <c r="D27" s="1" t="str">
        <f t="shared" si="1"/>
        <v>WS_Packaging</v>
      </c>
      <c r="E27" s="1">
        <v>7</v>
      </c>
      <c r="F27" s="1" t="b">
        <v>1</v>
      </c>
      <c r="H27" s="1" t="s">
        <v>98</v>
      </c>
      <c r="J27" s="1" t="s">
        <v>269</v>
      </c>
      <c r="K27" s="1" t="s">
        <v>98</v>
      </c>
      <c r="L27" s="1" t="s">
        <v>75</v>
      </c>
    </row>
    <row r="28" spans="1:12">
      <c r="A28" s="1" t="str">
        <f t="shared" si="0"/>
        <v>WS_BZJ16</v>
      </c>
      <c r="B28" s="1" t="s">
        <v>174</v>
      </c>
      <c r="C28" s="1" t="s">
        <v>74</v>
      </c>
      <c r="D28" s="1" t="str">
        <f t="shared" si="1"/>
        <v>WS_Packaging</v>
      </c>
      <c r="E28" s="1">
        <v>8</v>
      </c>
      <c r="F28" s="1" t="b">
        <v>1</v>
      </c>
      <c r="H28" s="1" t="s">
        <v>99</v>
      </c>
      <c r="J28" s="1" t="s">
        <v>269</v>
      </c>
      <c r="K28" s="1" t="s">
        <v>99</v>
      </c>
      <c r="L28" s="1" t="s">
        <v>75</v>
      </c>
    </row>
    <row r="29" spans="1:12">
      <c r="A29" s="1" t="str">
        <f t="shared" si="0"/>
        <v>WS_CZJ02</v>
      </c>
      <c r="B29" s="1" t="s">
        <v>175</v>
      </c>
      <c r="C29" s="1" t="s">
        <v>74</v>
      </c>
      <c r="D29" s="1" t="str">
        <f t="shared" si="1"/>
        <v>WS_Checkweigher</v>
      </c>
      <c r="E29" s="1">
        <v>9</v>
      </c>
      <c r="F29" s="1" t="b">
        <v>1</v>
      </c>
      <c r="H29" s="1" t="s">
        <v>121</v>
      </c>
      <c r="J29" s="1" t="s">
        <v>269</v>
      </c>
      <c r="K29" s="1" t="s">
        <v>121</v>
      </c>
      <c r="L29" s="6" t="s">
        <v>123</v>
      </c>
    </row>
    <row r="30" spans="1:12">
      <c r="A30" s="1" t="str">
        <f t="shared" si="0"/>
        <v>WS_PMJ02</v>
      </c>
      <c r="B30" s="1" t="s">
        <v>184</v>
      </c>
      <c r="C30" s="1" t="s">
        <v>74</v>
      </c>
      <c r="D30" s="1" t="str">
        <f t="shared" si="1"/>
        <v>WS_Inkjet</v>
      </c>
      <c r="E30" s="1">
        <v>10</v>
      </c>
      <c r="F30" s="1" t="b">
        <v>1</v>
      </c>
      <c r="H30" s="1" t="s">
        <v>274</v>
      </c>
      <c r="J30" s="1" t="s">
        <v>269</v>
      </c>
      <c r="K30" s="1" t="s">
        <v>275</v>
      </c>
      <c r="L30" s="1" t="s">
        <v>148</v>
      </c>
    </row>
    <row r="31" spans="1:12">
      <c r="A31" s="1" t="str">
        <f t="shared" si="0"/>
        <v>WS_MDJ04</v>
      </c>
      <c r="B31" s="1" t="s">
        <v>176</v>
      </c>
      <c r="C31" s="1" t="s">
        <v>74</v>
      </c>
      <c r="D31" s="1" t="str">
        <f t="shared" si="1"/>
        <v>WS_Palletizer</v>
      </c>
      <c r="E31" s="1">
        <v>11</v>
      </c>
      <c r="F31" s="1" t="b">
        <v>1</v>
      </c>
      <c r="H31" s="1" t="s">
        <v>111</v>
      </c>
      <c r="J31" s="1" t="s">
        <v>269</v>
      </c>
      <c r="K31" s="4" t="s">
        <v>111</v>
      </c>
      <c r="L31" s="4" t="s">
        <v>59</v>
      </c>
    </row>
    <row r="32" spans="1:12">
      <c r="A32" s="1" t="str">
        <f t="shared" si="0"/>
        <v>WS_MDJ05</v>
      </c>
      <c r="B32" s="1" t="s">
        <v>177</v>
      </c>
      <c r="C32" s="1" t="s">
        <v>74</v>
      </c>
      <c r="D32" s="1" t="str">
        <f t="shared" si="1"/>
        <v>WS_Palletizer</v>
      </c>
      <c r="E32" s="1">
        <v>12</v>
      </c>
      <c r="F32" s="1" t="b">
        <v>1</v>
      </c>
      <c r="H32" s="1" t="s">
        <v>112</v>
      </c>
      <c r="J32" s="1" t="s">
        <v>269</v>
      </c>
      <c r="K32" s="4" t="s">
        <v>112</v>
      </c>
      <c r="L32" s="4" t="s">
        <v>59</v>
      </c>
    </row>
    <row r="33" spans="1:12">
      <c r="A33" s="1" t="str">
        <f t="shared" si="0"/>
        <v>WS_MDJ06</v>
      </c>
      <c r="B33" s="1" t="s">
        <v>178</v>
      </c>
      <c r="C33" s="1" t="s">
        <v>74</v>
      </c>
      <c r="D33" s="1" t="str">
        <f t="shared" si="1"/>
        <v>WS_Palletizer</v>
      </c>
      <c r="E33" s="1">
        <v>13</v>
      </c>
      <c r="F33" s="1" t="b">
        <v>1</v>
      </c>
      <c r="H33" s="1" t="s">
        <v>113</v>
      </c>
      <c r="J33" s="1" t="s">
        <v>269</v>
      </c>
      <c r="K33" s="4" t="s">
        <v>113</v>
      </c>
      <c r="L33" s="4" t="s">
        <v>59</v>
      </c>
    </row>
    <row r="34" spans="1:12">
      <c r="A34" s="1" t="str">
        <f t="shared" si="0"/>
        <v>WS_CDJ02</v>
      </c>
      <c r="B34" s="1" t="s">
        <v>179</v>
      </c>
      <c r="C34" s="1" t="s">
        <v>74</v>
      </c>
      <c r="D34" s="1" t="str">
        <f t="shared" si="1"/>
        <v>WS_PalletOut</v>
      </c>
      <c r="E34" s="1">
        <v>14</v>
      </c>
      <c r="F34" s="1" t="b">
        <v>1</v>
      </c>
      <c r="H34" s="1" t="s">
        <v>285</v>
      </c>
      <c r="J34" s="1" t="s">
        <v>269</v>
      </c>
      <c r="K34" s="1" t="s">
        <v>145</v>
      </c>
      <c r="L34" s="1" t="s">
        <v>72</v>
      </c>
    </row>
    <row r="35" spans="1:12">
      <c r="A35" s="1" t="str">
        <f t="shared" si="0"/>
        <v>WS_FMJ02</v>
      </c>
      <c r="B35" s="1" t="s">
        <v>180</v>
      </c>
      <c r="C35" s="1" t="s">
        <v>74</v>
      </c>
      <c r="D35" s="1" t="str">
        <f t="shared" si="1"/>
        <v>WS_StretchWrapper</v>
      </c>
      <c r="E35" s="1">
        <v>15</v>
      </c>
      <c r="F35" s="1" t="b">
        <v>1</v>
      </c>
      <c r="H35" s="1" t="s">
        <v>286</v>
      </c>
      <c r="J35" s="1" t="s">
        <v>269</v>
      </c>
      <c r="K35" s="1" t="s">
        <v>136</v>
      </c>
      <c r="L35" s="6" t="s">
        <v>182</v>
      </c>
    </row>
    <row r="36" spans="1:12">
      <c r="A36" s="1" t="str">
        <f t="shared" si="0"/>
        <v>WS_TBJ02</v>
      </c>
      <c r="B36" s="1" t="s">
        <v>181</v>
      </c>
      <c r="C36" s="1" t="s">
        <v>74</v>
      </c>
      <c r="D36" s="1" t="str">
        <f t="shared" si="1"/>
        <v>WS_Labeling</v>
      </c>
      <c r="E36" s="1">
        <v>16</v>
      </c>
      <c r="F36" s="1" t="b">
        <v>1</v>
      </c>
      <c r="H36" s="1" t="s">
        <v>128</v>
      </c>
      <c r="J36" s="1" t="s">
        <v>269</v>
      </c>
      <c r="K36" s="1" t="s">
        <v>128</v>
      </c>
      <c r="L36" s="6" t="s">
        <v>124</v>
      </c>
    </row>
    <row r="37" spans="1:12">
      <c r="A37" s="1" t="str">
        <f t="shared" si="0"/>
        <v>WS_JPJ02</v>
      </c>
      <c r="B37" s="1" t="s">
        <v>360</v>
      </c>
      <c r="C37" s="1" t="s">
        <v>74</v>
      </c>
      <c r="D37" s="1" t="str">
        <f t="shared" si="1"/>
        <v>WS_PalletStack</v>
      </c>
      <c r="E37" s="1">
        <v>17</v>
      </c>
      <c r="F37" s="1" t="b">
        <v>1</v>
      </c>
      <c r="H37" s="1" t="s">
        <v>358</v>
      </c>
      <c r="J37" s="1" t="s">
        <v>269</v>
      </c>
      <c r="K37" s="1" t="s">
        <v>358</v>
      </c>
      <c r="L37" s="6" t="s">
        <v>355</v>
      </c>
    </row>
  </sheetData>
  <phoneticPr fontId="2" type="noConversion"/>
  <pageMargins left="0.7" right="0.7" top="0.75" bottom="0.75" header="0.3" footer="0.3"/>
  <pageSetup paperSize="9" orientation="portrait" horizontalDpi="203" verticalDpi="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CommunicationTags</vt:lpstr>
      <vt:lpstr>DomainTags</vt:lpstr>
      <vt:lpstr>Device</vt:lpstr>
      <vt:lpstr>SiemensS7TagRaw</vt:lpstr>
      <vt:lpstr>EquipmentRaw</vt:lpstr>
      <vt:lpstr>StationRaw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Shi</cp:lastModifiedBy>
  <dcterms:created xsi:type="dcterms:W3CDTF">2025-04-17T08:18:00Z</dcterms:created>
  <dcterms:modified xsi:type="dcterms:W3CDTF">2026-02-26T08:26:58Z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37575C1A2FBA4C53AF52EBBA77B09B0E_12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