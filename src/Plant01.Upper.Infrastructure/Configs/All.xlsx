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BE00B9D9-B5E0-499B-8891-636328C1DBA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CommunicationTags" sheetId="1" r:id="rId1"/>
    <sheet name="DomainTags" sheetId="7" r:id="rId2"/>
    <sheet name="Device" sheetId="6" r:id="rId3"/>
    <sheet name="PlcTagRaw" sheetId="2" r:id="rId4"/>
    <sheet name="InkjetTag" sheetId="10" r:id="rId5"/>
    <sheet name="EquipmentRaw" sheetId="5" r:id="rId6"/>
    <sheet name="StationRaw" sheetId="8" r:id="rId7"/>
    <sheet name="LineRaw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  <c r="Q20" i="1"/>
  <c r="J20" i="1"/>
  <c r="Q19" i="1"/>
  <c r="J19" i="1"/>
  <c r="Q18" i="1"/>
  <c r="J18" i="1"/>
  <c r="Q17" i="1"/>
  <c r="J17" i="1"/>
  <c r="J16" i="1"/>
  <c r="J15" i="1"/>
  <c r="J14" i="1"/>
  <c r="Q13" i="1"/>
  <c r="J13" i="1"/>
  <c r="Q12" i="1"/>
  <c r="J12" i="1"/>
  <c r="J11" i="1"/>
  <c r="Q10" i="1"/>
  <c r="J10" i="1"/>
  <c r="Q9" i="1"/>
  <c r="J9" i="1"/>
  <c r="J8" i="1"/>
  <c r="Q7" i="1"/>
  <c r="J7" i="1"/>
  <c r="Q6" i="1"/>
  <c r="J6" i="1"/>
  <c r="J5" i="1"/>
  <c r="J4" i="1"/>
  <c r="J3" i="1"/>
  <c r="J2" i="1"/>
  <c r="A2" i="8"/>
  <c r="I33" i="8"/>
  <c r="I34" i="8"/>
  <c r="A22" i="10"/>
  <c r="Q21" i="10"/>
  <c r="A21" i="10"/>
  <c r="Q20" i="10"/>
  <c r="J20" i="10"/>
  <c r="A20" i="10"/>
  <c r="Q19" i="10"/>
  <c r="J19" i="10"/>
  <c r="A19" i="10"/>
  <c r="Q18" i="10"/>
  <c r="J18" i="10"/>
  <c r="A18" i="10"/>
  <c r="Q17" i="10"/>
  <c r="J17" i="10"/>
  <c r="A17" i="10"/>
  <c r="J16" i="10"/>
  <c r="A16" i="10"/>
  <c r="J15" i="10"/>
  <c r="A15" i="10"/>
  <c r="J14" i="10"/>
  <c r="A14" i="10"/>
  <c r="Q13" i="10"/>
  <c r="J13" i="10"/>
  <c r="A13" i="10"/>
  <c r="Q12" i="10"/>
  <c r="J12" i="10"/>
  <c r="A12" i="10"/>
  <c r="J11" i="10"/>
  <c r="A11" i="10"/>
  <c r="Q10" i="10"/>
  <c r="J10" i="10"/>
  <c r="A10" i="10"/>
  <c r="Q9" i="10"/>
  <c r="J9" i="10"/>
  <c r="A9" i="10"/>
  <c r="J8" i="10"/>
  <c r="A8" i="10"/>
  <c r="Q7" i="10"/>
  <c r="J7" i="10"/>
  <c r="A7" i="10"/>
  <c r="Q6" i="10"/>
  <c r="J6" i="10"/>
  <c r="A6" i="10"/>
  <c r="J5" i="10"/>
  <c r="A5" i="10"/>
  <c r="J4" i="10"/>
  <c r="A4" i="10"/>
  <c r="J3" i="10"/>
  <c r="A3" i="10"/>
  <c r="J2" i="10"/>
  <c r="A2" i="10"/>
  <c r="A28" i="8"/>
  <c r="A12" i="8"/>
  <c r="A4" i="8"/>
  <c r="A5" i="8"/>
  <c r="A6" i="8"/>
  <c r="A7" i="8"/>
  <c r="A8" i="8"/>
  <c r="A9" i="8"/>
  <c r="A10" i="8"/>
  <c r="A11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9" i="8"/>
  <c r="A30" i="8"/>
  <c r="A31" i="8"/>
  <c r="A32" i="8"/>
  <c r="A33" i="8"/>
  <c r="A34" i="8"/>
  <c r="A3" i="8"/>
  <c r="J16" i="2"/>
  <c r="A16" i="2"/>
  <c r="A30" i="5"/>
  <c r="A15" i="5"/>
  <c r="J2" i="2"/>
  <c r="J3" i="2"/>
  <c r="J4" i="2"/>
  <c r="J5" i="2"/>
  <c r="A7" i="2"/>
  <c r="A8" i="2"/>
  <c r="A9" i="2"/>
  <c r="A10" i="2"/>
  <c r="A11" i="2"/>
  <c r="A12" i="2"/>
  <c r="A13" i="2"/>
  <c r="A14" i="2"/>
  <c r="A15" i="2"/>
  <c r="A17" i="2"/>
  <c r="A18" i="2"/>
  <c r="A19" i="2"/>
  <c r="A20" i="2"/>
  <c r="A2" i="2"/>
  <c r="A3" i="2"/>
  <c r="A4" i="2"/>
  <c r="A5" i="2"/>
  <c r="A6" i="2"/>
  <c r="A31" i="5"/>
  <c r="A16" i="5"/>
  <c r="A4" i="5"/>
  <c r="A5" i="5"/>
  <c r="A6" i="5"/>
  <c r="A7" i="5"/>
  <c r="A8" i="5"/>
  <c r="A9" i="5"/>
  <c r="A10" i="5"/>
  <c r="A11" i="5"/>
  <c r="A12" i="5"/>
  <c r="A13" i="5"/>
  <c r="A14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2" i="5"/>
  <c r="A3" i="5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J15" i="2"/>
  <c r="Q20" i="2"/>
  <c r="J20" i="2"/>
  <c r="Q19" i="2"/>
  <c r="J19" i="2"/>
  <c r="Q18" i="2"/>
  <c r="J18" i="2"/>
  <c r="Q17" i="2"/>
  <c r="J17" i="2"/>
  <c r="J14" i="2"/>
  <c r="Q13" i="2"/>
  <c r="J13" i="2"/>
  <c r="Q12" i="2"/>
  <c r="J12" i="2"/>
  <c r="J11" i="2"/>
  <c r="Q10" i="2"/>
  <c r="J10" i="2"/>
  <c r="Q9" i="2"/>
  <c r="J9" i="2"/>
  <c r="J8" i="2"/>
  <c r="Q7" i="2"/>
  <c r="J7" i="2"/>
  <c r="Q6" i="2"/>
  <c r="J6" i="2"/>
</calcChain>
</file>

<file path=xl/sharedStrings.xml><?xml version="1.0" encoding="utf-8"?>
<sst xmlns="http://schemas.openxmlformats.org/spreadsheetml/2006/main" count="1347" uniqueCount="282">
  <si>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</si>
  <si>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</si>
  <si>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</si>
  <si>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</si>
  <si>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</si>
  <si>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</si>
  <si>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</si>
  <si>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</si>
  <si>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</si>
  <si>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</si>
  <si>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</si>
  <si>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</si>
  <si>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</si>
  <si>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</si>
  <si>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</si>
  <si>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</si>
  <si>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</si>
  <si>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</si>
  <si>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</si>
  <si>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</si>
  <si>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</si>
  <si>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</si>
  <si>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</si>
  <si>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</si>
  <si>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</si>
  <si>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</si>
  <si>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</si>
  <si>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</si>
  <si>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</si>
  <si>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</si>
  <si>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</si>
  <si>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</si>
  <si>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</si>
  <si>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</si>
  <si>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</si>
  <si>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</si>
  <si>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</si>
  <si>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</si>
  <si>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</si>
  <si>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</si>
  <si>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</si>
  <si>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Heartbeat, AlarmReport, OutputCount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</si>
  <si>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</si>
  <si>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</si>
  <si>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</si>
  <si>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</si>
  <si>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</si>
  <si>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</si>
  <si>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</si>
  <si>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</si>
  <si>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</si>
  <si>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</si>
  <si>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</si>
  <si>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</si>
  <si>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</si>
  <si>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</si>
  <si>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</si>
  <si>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</si>
  <si>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</si>
  <si>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</si>
  <si>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</si>
  <si>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</si>
  <si>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MDJ1</t>
    <phoneticPr fontId="2" type="noConversion"/>
  </si>
  <si>
    <t>Device</t>
    <phoneticPr fontId="2" type="noConversion"/>
  </si>
  <si>
    <t>MDJ01</t>
    <phoneticPr fontId="2" type="noConversion"/>
  </si>
  <si>
    <t>CDJ01</t>
    <phoneticPr fontId="2" type="noConversion"/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</si>
  <si>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</si>
  <si>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</si>
  <si>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</si>
  <si>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</si>
  <si>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</si>
  <si>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</si>
  <si>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</si>
  <si>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</si>
  <si>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  <phoneticPr fontId="2" type="noConversion"/>
  </si>
  <si>
    <t>PalletOut</t>
    <phoneticPr fontId="2" type="noConversion"/>
  </si>
  <si>
    <t>垛盘码数据</t>
  </si>
  <si>
    <t>MDJ2</t>
    <phoneticPr fontId="2" type="noConversion"/>
  </si>
  <si>
    <t>Packaging</t>
    <phoneticPr fontId="2" type="noConversion"/>
  </si>
  <si>
    <t>BZJ01</t>
    <phoneticPr fontId="2" type="noConversion"/>
  </si>
  <si>
    <t>Station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</si>
  <si>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</si>
  <si>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</si>
  <si>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</si>
  <si>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</si>
  <si>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</si>
  <si>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</si>
  <si>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</si>
  <si>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</si>
  <si>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</si>
  <si>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</si>
  <si>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</si>
  <si>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</si>
  <si>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</si>
  <si>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</si>
  <si>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</si>
  <si>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</si>
  <si>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</si>
  <si>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</si>
  <si>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</si>
  <si>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</si>
  <si>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</si>
  <si>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</si>
  <si>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</si>
  <si>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</si>
  <si>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</si>
  <si>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</si>
  <si>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</si>
  <si>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</si>
  <si>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</si>
  <si>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</si>
  <si>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</si>
  <si>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</si>
  <si>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</si>
  <si>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</si>
  <si>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</si>
  <si>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</si>
  <si>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</si>
  <si>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</si>
  <si>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</si>
  <si>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</si>
  <si>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</si>
  <si>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</si>
  <si>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</si>
  <si>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</si>
  <si>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</si>
  <si>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</si>
  <si>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</si>
  <si>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</si>
  <si>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</si>
  <si>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</si>
  <si>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</si>
  <si>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</si>
  <si>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</si>
  <si>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</si>
  <si>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</si>
  <si>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</si>
  <si>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HeartBeat</t>
  </si>
  <si>
    <t>HeartBeat</t>
    <phoneticPr fontId="2" type="noConversion"/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</si>
  <si>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</si>
  <si>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</si>
  <si>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</si>
  <si>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</si>
  <si>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</si>
  <si>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</si>
  <si>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</si>
  <si>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  <phoneticPr fontId="2" type="noConversion"/>
  </si>
  <si>
    <t>AutoMode</t>
  </si>
  <si>
    <t>AutoMode</t>
    <phoneticPr fontId="2" type="noConversion"/>
  </si>
  <si>
    <t>Bool</t>
    <phoneticPr fontId="2" type="noConversion"/>
  </si>
  <si>
    <t>BZ01</t>
  </si>
  <si>
    <t>BZ01</t>
    <phoneticPr fontId="2" type="noConversion"/>
  </si>
  <si>
    <t>BZ02</t>
  </si>
  <si>
    <t>BZ03</t>
  </si>
  <si>
    <t>BZ04</t>
  </si>
  <si>
    <t>BZ05</t>
  </si>
  <si>
    <t>BZ06</t>
  </si>
  <si>
    <t>BZ07</t>
  </si>
  <si>
    <t>BZ08</t>
  </si>
  <si>
    <t>CZ01</t>
    <phoneticPr fontId="2" type="noConversion"/>
  </si>
  <si>
    <t>MD01</t>
  </si>
  <si>
    <t>MD02</t>
  </si>
  <si>
    <t>MD03</t>
  </si>
  <si>
    <t>FM01</t>
  </si>
  <si>
    <t>TB01</t>
  </si>
  <si>
    <t>CZ02</t>
  </si>
  <si>
    <t>MD04</t>
  </si>
  <si>
    <t>MD05</t>
  </si>
  <si>
    <t>MD06</t>
  </si>
  <si>
    <t>FM02</t>
  </si>
  <si>
    <t>CD01</t>
    <phoneticPr fontId="2" type="noConversion"/>
  </si>
  <si>
    <t>出垛机01</t>
    <phoneticPr fontId="2" type="noConversion"/>
  </si>
  <si>
    <t>CD02</t>
    <phoneticPr fontId="2" type="noConversion"/>
  </si>
  <si>
    <t>CDJ02</t>
    <phoneticPr fontId="2" type="noConversion"/>
  </si>
  <si>
    <t>出垛机02</t>
    <phoneticPr fontId="2" type="noConversion"/>
  </si>
  <si>
    <t>Printing</t>
    <phoneticPr fontId="2" type="noConversion"/>
  </si>
  <si>
    <t>Content</t>
    <phoneticPr fontId="2" type="noConversion"/>
  </si>
  <si>
    <t>发送内容</t>
    <phoneticPr fontId="2" type="noConversion"/>
  </si>
  <si>
    <t>PMJ01</t>
    <phoneticPr fontId="2" type="noConversion"/>
  </si>
  <si>
    <t>Inkjet</t>
    <phoneticPr fontId="2" type="noConversion"/>
  </si>
  <si>
    <t>Output</t>
    <phoneticPr fontId="2" type="noConversion"/>
  </si>
  <si>
    <t>SwdomInkjetTcp</t>
    <phoneticPr fontId="2" type="noConversion"/>
  </si>
  <si>
    <t>PMJ1</t>
    <phoneticPr fontId="2" type="noConversion"/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</si>
  <si>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</si>
  <si>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</si>
  <si>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</si>
  <si>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</si>
  <si>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</si>
  <si>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</si>
  <si>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</si>
  <si>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</si>
  <si>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</si>
  <si>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</si>
  <si>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</si>
  <si>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</si>
  <si>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</si>
  <si>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</si>
  <si>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</si>
  <si>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</si>
  <si>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</si>
  <si>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</si>
  <si>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</si>
  <si>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</si>
  <si>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</si>
  <si>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</si>
  <si>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</si>
  <si>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</si>
  <si>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</si>
  <si>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</si>
  <si>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</si>
  <si>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</si>
  <si>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</si>
  <si>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</si>
  <si>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</si>
  <si>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</si>
  <si>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</si>
  <si>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</si>
  <si>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PM01</t>
    <phoneticPr fontId="2" type="noConversion"/>
  </si>
  <si>
    <t>喷码工位01</t>
    <phoneticPr fontId="2" type="noConversion"/>
  </si>
  <si>
    <t>PM02</t>
    <phoneticPr fontId="2" type="noConversion"/>
  </si>
  <si>
    <t>喷码工位02</t>
    <phoneticPr fontId="2" type="noConversion"/>
  </si>
  <si>
    <t>Equipment</t>
    <phoneticPr fontId="2" type="noConversion"/>
  </si>
  <si>
    <t>码垛线1号</t>
    <phoneticPr fontId="2" type="noConversion"/>
  </si>
  <si>
    <t>码垛线2号</t>
    <phoneticPr fontId="2" type="noConversion"/>
  </si>
  <si>
    <t>LabelingTcp</t>
    <phoneticPr fontId="2" type="noConversion"/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</si>
  <si>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</si>
  <si>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</si>
  <si>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</si>
  <si>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</si>
  <si>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</si>
  <si>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</si>
  <si>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</si>
  <si>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MDJ1_BZJ01</t>
  </si>
  <si>
    <t>LineCode</t>
    <phoneticPr fontId="2" type="noConversion"/>
  </si>
  <si>
    <t>EquipmentRefsStr</t>
  </si>
  <si>
    <t>MDJ1_BZJ02</t>
  </si>
  <si>
    <t>MDJ1_BZJ03</t>
  </si>
  <si>
    <t>MDJ1_BZJ04</t>
  </si>
  <si>
    <t>MDJ1_BZJ05</t>
  </si>
  <si>
    <t>MDJ1_BZJ06</t>
  </si>
  <si>
    <t>MDJ1_BZJ07</t>
  </si>
  <si>
    <t>MDJ1_BZJ08</t>
  </si>
  <si>
    <t>MDJ1_CZJ01</t>
  </si>
  <si>
    <t>MDJ1_MDJ02</t>
  </si>
  <si>
    <t>MDJ1_MDJ03</t>
  </si>
  <si>
    <t>MDJ1_FMJ01</t>
  </si>
  <si>
    <t>MDJ1_TBJ01</t>
  </si>
  <si>
    <t>MDJ2_BZJ09</t>
  </si>
  <si>
    <t>MDJ2_BZJ10</t>
  </si>
  <si>
    <t>MDJ2_BZJ11</t>
  </si>
  <si>
    <t>MDJ2_BZJ12</t>
  </si>
  <si>
    <t>MDJ2_BZJ13</t>
  </si>
  <si>
    <t>MDJ2_BZJ14</t>
  </si>
  <si>
    <t>MDJ2_BZJ15</t>
  </si>
  <si>
    <t>MDJ2_BZJ16</t>
  </si>
  <si>
    <t>MDJ2_CZJ02</t>
  </si>
  <si>
    <t>MDJ2_MDJ04</t>
  </si>
  <si>
    <t>MDJ2_MDJ05</t>
  </si>
  <si>
    <t>MDJ2_MDJ06</t>
  </si>
  <si>
    <t>MDJ2_CDJ02</t>
  </si>
  <si>
    <t>MDJ2_FMJ02</t>
  </si>
  <si>
    <t>MDJ2_TBJ02</t>
  </si>
  <si>
    <t>Heartbeat</t>
  </si>
  <si>
    <t>CDJ01.Grouping.Request</t>
  </si>
  <si>
    <t>CDJ01.Grouping.Code</t>
  </si>
  <si>
    <t>CDJ01.Grouping.PalletCode</t>
  </si>
  <si>
    <t>BZJ01.Bagging.ProcessResult</t>
  </si>
  <si>
    <t>MDJ01.Palletizing.ProcessResult</t>
  </si>
  <si>
    <t>MDJ01.Palletizing.Position</t>
  </si>
  <si>
    <t>CDJ01.Grouping.ProcessResult</t>
  </si>
  <si>
    <t>虚拟工位01</t>
    <phoneticPr fontId="2" type="noConversion"/>
  </si>
  <si>
    <t>System</t>
    <phoneticPr fontId="2" type="noConversion"/>
  </si>
  <si>
    <t>PLC01</t>
    <phoneticPr fontId="2" type="noConversion"/>
  </si>
  <si>
    <t>MDJ1_PLC01</t>
    <phoneticPr fontId="2" type="noConversion"/>
  </si>
  <si>
    <t>MDJ1.ManualMode</t>
  </si>
  <si>
    <t>MDJ1.AutoMode</t>
  </si>
  <si>
    <t>MDJ1.RunningStatus</t>
  </si>
  <si>
    <t>虚拟设备</t>
    <phoneticPr fontId="2" type="noConversion"/>
  </si>
  <si>
    <t>OutPut</t>
    <phoneticPr fontId="2" type="noConversion"/>
  </si>
  <si>
    <t>Input</t>
    <phoneticPr fontId="2" type="noConversion"/>
  </si>
  <si>
    <t>MDJ1.Input.Heartbeat</t>
  </si>
  <si>
    <t>MDJ1.OutPut.Heartbeat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</si>
</sst>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workbookViewId="0">
      <selection activeCell="A2" sqref="A2:A20"/>
    </sheetView>
  </sheetViews>
  <sheetFormatPr defaultColWidth="9" defaultRowHeight="14.25"/>
  <cols>
    <col min="1" max="1" width="28.75" style="2" bestFit="1" customWidth="1"/>
    <col min="2" max="2" width="6" bestFit="1" customWidth="1"/>
    <col min="3" max="3" width="7.25" bestFit="1" customWidth="1"/>
    <col min="4" max="4" width="10.375" bestFit="1" customWidth="1"/>
    <col min="5" max="5" width="9.625" bestFit="1" customWidth="1"/>
    <col min="6" max="6" width="13.5" bestFit="1" customWidth="1"/>
    <col min="7" max="7" width="15.125" bestFit="1" customWidth="1"/>
    <col min="8" max="8" width="10.625" bestFit="1" customWidth="1"/>
    <col min="9" max="9" width="9.375" bestFit="1" customWidth="1"/>
    <col min="10" max="10" width="11.25" bestFit="1" customWidth="1"/>
    <col min="11" max="11" width="11.5" bestFit="1" customWidth="1"/>
    <col min="12" max="12" width="12.875" bestFit="1" customWidth="1"/>
    <col min="13" max="13" width="8.25" bestFit="1" customWidth="1"/>
    <col min="14" max="14" width="10.25" bestFit="1" customWidth="1"/>
    <col min="15" max="15" width="17.125" bestFit="1" customWidth="1"/>
    <col min="16" max="16" width="11.625" bestFit="1" customWidth="1"/>
    <col min="17" max="17" width="7.125" bestFit="1" customWidth="1"/>
    <col min="18" max="18" width="13.625" bestFit="1" customWidth="1"/>
    <col min="19" max="19" width="11.375" bestFit="1" customWidth="1"/>
  </cols>
  <sheetData>
    <row r="1" spans="1:19">
      <c r="A1" s="1" t="s">
        <v>0</v>
      </c>
      <c r="B1" s="1" t="s">
        <v>66</v>
      </c>
      <c r="C1" s="1" t="s">
        <v>1</v>
      </c>
      <c r="D1" s="1" t="s">
        <v>221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>
      <c r="A2" s="1" t="s">
        <v>280</v>
      </c>
      <c r="B2" s="1" t="s">
        <v>62</v>
      </c>
      <c r="C2" s="1"/>
      <c r="D2" s="1"/>
      <c r="E2" s="1"/>
      <c r="F2" s="1" t="s">
        <v>262</v>
      </c>
      <c r="G2" s="1" t="s">
        <v>133</v>
      </c>
      <c r="H2" s="1"/>
      <c r="I2" s="1" t="s">
        <v>149</v>
      </c>
      <c r="J2" s="1" t="str">
        <f t="shared" ref="J2:J20" si="0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1" t="s">
        <v>21</v>
      </c>
    </row>
    <row r="3" spans="1:19">
      <c r="A3" s="1" t="s">
        <v>274</v>
      </c>
      <c r="B3" s="1" t="s">
        <v>62</v>
      </c>
      <c r="C3" s="1"/>
      <c r="D3" s="1"/>
      <c r="E3" s="1"/>
      <c r="F3" s="1" t="s">
        <v>145</v>
      </c>
      <c r="G3" s="1" t="s">
        <v>134</v>
      </c>
      <c r="H3" s="1"/>
      <c r="I3" s="1" t="s">
        <v>149</v>
      </c>
      <c r="J3" s="1" t="str">
        <f t="shared" si="0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1" t="s">
        <v>21</v>
      </c>
    </row>
    <row r="4" spans="1:19">
      <c r="A4" s="1" t="s">
        <v>275</v>
      </c>
      <c r="B4" s="1" t="s">
        <v>62</v>
      </c>
      <c r="C4" s="1"/>
      <c r="D4" s="1"/>
      <c r="E4" s="1"/>
      <c r="F4" s="1" t="s">
        <v>148</v>
      </c>
      <c r="G4" s="1" t="s">
        <v>135</v>
      </c>
      <c r="H4" s="1"/>
      <c r="I4" s="1" t="s">
        <v>149</v>
      </c>
      <c r="J4" s="1" t="str">
        <f t="shared" si="0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1" t="s">
        <v>21</v>
      </c>
    </row>
    <row r="5" spans="1:19">
      <c r="A5" s="1" t="s">
        <v>276</v>
      </c>
      <c r="B5" s="1" t="s">
        <v>62</v>
      </c>
      <c r="C5" s="1"/>
      <c r="D5" s="1"/>
      <c r="E5" s="1"/>
      <c r="F5" s="1" t="s">
        <v>146</v>
      </c>
      <c r="G5" s="1" t="s">
        <v>136</v>
      </c>
      <c r="H5" s="1"/>
      <c r="I5" s="1" t="s">
        <v>149</v>
      </c>
      <c r="J5" s="1" t="str">
        <f t="shared" si="0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1" t="s">
        <v>21</v>
      </c>
    </row>
    <row r="6" spans="1:19">
      <c r="A6" s="1" t="s">
        <v>225</v>
      </c>
      <c r="B6" s="1"/>
      <c r="C6" s="1"/>
      <c r="D6" s="1" t="s">
        <v>79</v>
      </c>
      <c r="E6" s="1" t="s">
        <v>24</v>
      </c>
      <c r="F6" s="4" t="s">
        <v>52</v>
      </c>
      <c r="G6" s="1" t="s">
        <v>42</v>
      </c>
      <c r="H6" s="1"/>
      <c r="I6" s="4" t="s">
        <v>68</v>
      </c>
      <c r="J6" s="1" t="str">
        <f t="shared" si="0"/>
        <v>DB1002.2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tr">
        <f t="shared" ref="Q6:Q20" si="1">IF(I6="STRING",64,"")</f>
        <v/>
      </c>
      <c r="R6" s="1" t="s">
        <v>20</v>
      </c>
      <c r="S6" s="1" t="s">
        <v>21</v>
      </c>
    </row>
    <row r="7" spans="1:19">
      <c r="A7" s="1" t="s">
        <v>226</v>
      </c>
      <c r="B7" s="1"/>
      <c r="C7" s="1"/>
      <c r="D7" s="1" t="s">
        <v>79</v>
      </c>
      <c r="E7" s="1" t="s">
        <v>24</v>
      </c>
      <c r="F7" s="1" t="s">
        <v>22</v>
      </c>
      <c r="G7" s="1" t="s">
        <v>43</v>
      </c>
      <c r="H7" s="1"/>
      <c r="I7" s="4" t="s">
        <v>68</v>
      </c>
      <c r="J7" s="1" t="str">
        <f t="shared" si="0"/>
        <v>DB1002.4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tr">
        <f t="shared" si="1"/>
        <v/>
      </c>
      <c r="R7" s="1" t="s">
        <v>20</v>
      </c>
      <c r="S7" s="1" t="s">
        <v>21</v>
      </c>
    </row>
    <row r="8" spans="1:19">
      <c r="A8" s="1" t="s">
        <v>227</v>
      </c>
      <c r="B8" s="1"/>
      <c r="C8" s="1"/>
      <c r="D8" s="1" t="s">
        <v>79</v>
      </c>
      <c r="E8" s="1" t="s">
        <v>24</v>
      </c>
      <c r="F8" s="1" t="s">
        <v>23</v>
      </c>
      <c r="G8" s="1" t="s">
        <v>44</v>
      </c>
      <c r="H8" s="1"/>
      <c r="I8" s="4" t="s">
        <v>48</v>
      </c>
      <c r="J8" s="1" t="str">
        <f t="shared" si="0"/>
        <v>DB1002.6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</row>
    <row r="9" spans="1:19">
      <c r="A9" s="1" t="s">
        <v>228</v>
      </c>
      <c r="B9" s="1"/>
      <c r="C9" s="1"/>
      <c r="D9" s="1" t="s">
        <v>64</v>
      </c>
      <c r="E9" s="4" t="s">
        <v>54</v>
      </c>
      <c r="F9" s="4" t="s">
        <v>52</v>
      </c>
      <c r="G9" s="1" t="s">
        <v>45</v>
      </c>
      <c r="H9" s="1"/>
      <c r="I9" s="4" t="s">
        <v>68</v>
      </c>
      <c r="J9" s="1" t="str">
        <f t="shared" si="0"/>
        <v>DB1002.40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tr">
        <f t="shared" si="1"/>
        <v/>
      </c>
      <c r="R9" s="1" t="s">
        <v>20</v>
      </c>
      <c r="S9" s="1" t="s">
        <v>21</v>
      </c>
    </row>
    <row r="10" spans="1:19">
      <c r="A10" s="1" t="s">
        <v>229</v>
      </c>
      <c r="B10" s="1"/>
      <c r="C10" s="1"/>
      <c r="D10" s="1" t="s">
        <v>64</v>
      </c>
      <c r="E10" s="4" t="s">
        <v>54</v>
      </c>
      <c r="F10" s="1" t="s">
        <v>22</v>
      </c>
      <c r="G10" s="1" t="s">
        <v>43</v>
      </c>
      <c r="H10" s="1"/>
      <c r="I10" s="4" t="s">
        <v>68</v>
      </c>
      <c r="J10" s="1" t="str">
        <f t="shared" si="0"/>
        <v>DB1002.42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tr">
        <f t="shared" si="1"/>
        <v/>
      </c>
      <c r="R10" s="1" t="s">
        <v>20</v>
      </c>
      <c r="S10" s="1" t="s">
        <v>21</v>
      </c>
    </row>
    <row r="11" spans="1:19">
      <c r="A11" s="1" t="s">
        <v>230</v>
      </c>
      <c r="B11" s="1"/>
      <c r="C11" s="1"/>
      <c r="D11" s="1" t="s">
        <v>64</v>
      </c>
      <c r="E11" s="4" t="s">
        <v>54</v>
      </c>
      <c r="F11" s="1" t="s">
        <v>23</v>
      </c>
      <c r="G11" s="1" t="s">
        <v>46</v>
      </c>
      <c r="H11" s="1"/>
      <c r="I11" s="4" t="s">
        <v>48</v>
      </c>
      <c r="J11" s="1" t="str">
        <f t="shared" si="0"/>
        <v>DB1002.44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</row>
    <row r="12" spans="1:19">
      <c r="A12" s="1" t="s">
        <v>231</v>
      </c>
      <c r="B12" s="1"/>
      <c r="C12" s="1"/>
      <c r="D12" s="1" t="s">
        <v>64</v>
      </c>
      <c r="E12" s="4" t="s">
        <v>54</v>
      </c>
      <c r="F12" s="4" t="s">
        <v>53</v>
      </c>
      <c r="G12" s="1" t="s">
        <v>47</v>
      </c>
      <c r="H12" s="1"/>
      <c r="I12" s="4" t="s">
        <v>68</v>
      </c>
      <c r="J12" s="1" t="str">
        <f t="shared" si="0"/>
        <v>DB1002.78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tr">
        <f t="shared" si="1"/>
        <v/>
      </c>
      <c r="R12" s="1" t="s">
        <v>20</v>
      </c>
      <c r="S12" s="1" t="s">
        <v>21</v>
      </c>
    </row>
    <row r="13" spans="1:19">
      <c r="A13" s="1" t="s">
        <v>263</v>
      </c>
      <c r="B13" s="1"/>
      <c r="C13" s="1"/>
      <c r="D13" s="1" t="s">
        <v>65</v>
      </c>
      <c r="E13" s="4" t="s">
        <v>55</v>
      </c>
      <c r="F13" s="1" t="s">
        <v>22</v>
      </c>
      <c r="G13" s="4" t="s">
        <v>49</v>
      </c>
      <c r="H13" s="1"/>
      <c r="I13" s="4" t="s">
        <v>68</v>
      </c>
      <c r="J13" s="1" t="str">
        <f t="shared" si="0"/>
        <v>DB1002.80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tr">
        <f t="shared" si="1"/>
        <v/>
      </c>
      <c r="R13" s="1" t="s">
        <v>20</v>
      </c>
      <c r="S13" s="1" t="s">
        <v>21</v>
      </c>
    </row>
    <row r="14" spans="1:19">
      <c r="A14" s="1" t="s">
        <v>264</v>
      </c>
      <c r="B14" s="1"/>
      <c r="C14" s="1"/>
      <c r="D14" s="1" t="s">
        <v>65</v>
      </c>
      <c r="E14" s="4" t="s">
        <v>55</v>
      </c>
      <c r="F14" s="1" t="s">
        <v>23</v>
      </c>
      <c r="G14" s="4" t="s">
        <v>50</v>
      </c>
      <c r="H14" s="1"/>
      <c r="I14" s="4" t="s">
        <v>48</v>
      </c>
      <c r="J14" s="1" t="str">
        <f t="shared" si="0"/>
        <v>DB1002.82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</row>
    <row r="15" spans="1:19">
      <c r="A15" s="1" t="s">
        <v>265</v>
      </c>
      <c r="B15" s="1"/>
      <c r="C15" s="1"/>
      <c r="D15" s="1" t="s">
        <v>65</v>
      </c>
      <c r="E15" s="4" t="s">
        <v>55</v>
      </c>
      <c r="F15" s="1" t="s">
        <v>74</v>
      </c>
      <c r="G15" s="4" t="s">
        <v>76</v>
      </c>
      <c r="H15" s="1"/>
      <c r="I15" s="4" t="s">
        <v>48</v>
      </c>
      <c r="J15" s="1" t="str">
        <f t="shared" si="0"/>
        <v>DB1002.116</v>
      </c>
      <c r="K15" s="1" t="s">
        <v>18</v>
      </c>
      <c r="L15" s="1">
        <v>1002</v>
      </c>
      <c r="M15" s="1">
        <v>116</v>
      </c>
      <c r="N15" s="1"/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</row>
    <row r="16" spans="1:19">
      <c r="A16" s="1" t="s">
        <v>281</v>
      </c>
      <c r="B16" s="1" t="s">
        <v>62</v>
      </c>
      <c r="C16" s="1"/>
      <c r="D16" s="1"/>
      <c r="E16" s="1"/>
      <c r="F16" s="1" t="s">
        <v>262</v>
      </c>
      <c r="G16" s="1" t="s">
        <v>133</v>
      </c>
      <c r="H16" s="1"/>
      <c r="I16" s="1" t="s">
        <v>149</v>
      </c>
      <c r="J16" s="1" t="str">
        <f t="shared" si="0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25</v>
      </c>
      <c r="Q16" s="1"/>
      <c r="R16" s="1" t="s">
        <v>20</v>
      </c>
      <c r="S16" s="1" t="s">
        <v>21</v>
      </c>
    </row>
    <row r="17" spans="1:19">
      <c r="A17" s="1" t="s">
        <v>266</v>
      </c>
      <c r="B17" s="1"/>
      <c r="C17" s="4"/>
      <c r="D17" s="1" t="s">
        <v>79</v>
      </c>
      <c r="E17" s="1" t="s">
        <v>24</v>
      </c>
      <c r="F17" s="4" t="s">
        <v>72</v>
      </c>
      <c r="G17" s="4" t="s">
        <v>51</v>
      </c>
      <c r="H17" s="1"/>
      <c r="I17" s="4" t="s">
        <v>68</v>
      </c>
      <c r="J17" s="1" t="str">
        <f t="shared" si="0"/>
        <v>DB1001.2</v>
      </c>
      <c r="K17" s="1" t="s">
        <v>18</v>
      </c>
      <c r="L17" s="1">
        <v>1001</v>
      </c>
      <c r="M17" s="1">
        <v>2</v>
      </c>
      <c r="N17" s="1"/>
      <c r="O17" s="1">
        <v>2</v>
      </c>
      <c r="P17" s="1" t="s">
        <v>25</v>
      </c>
      <c r="Q17" s="1" t="str">
        <f t="shared" si="1"/>
        <v/>
      </c>
      <c r="R17" s="1" t="s">
        <v>20</v>
      </c>
      <c r="S17" s="1" t="s">
        <v>21</v>
      </c>
    </row>
    <row r="18" spans="1:19">
      <c r="A18" s="1" t="s">
        <v>267</v>
      </c>
      <c r="B18" s="1"/>
      <c r="C18" s="4"/>
      <c r="D18" s="1" t="s">
        <v>64</v>
      </c>
      <c r="E18" s="4" t="s">
        <v>54</v>
      </c>
      <c r="F18" s="4" t="s">
        <v>72</v>
      </c>
      <c r="G18" s="4" t="s">
        <v>56</v>
      </c>
      <c r="H18" s="1"/>
      <c r="I18" s="4" t="s">
        <v>68</v>
      </c>
      <c r="J18" s="1" t="str">
        <f t="shared" si="0"/>
        <v>DB1001.4</v>
      </c>
      <c r="K18" s="1" t="s">
        <v>18</v>
      </c>
      <c r="L18" s="1">
        <v>1001</v>
      </c>
      <c r="M18" s="1">
        <v>4</v>
      </c>
      <c r="N18" s="1"/>
      <c r="O18" s="1">
        <v>2</v>
      </c>
      <c r="P18" s="1" t="s">
        <v>25</v>
      </c>
      <c r="Q18" s="1" t="str">
        <f t="shared" si="1"/>
        <v/>
      </c>
      <c r="R18" s="1" t="s">
        <v>20</v>
      </c>
      <c r="S18" s="1" t="s">
        <v>21</v>
      </c>
    </row>
    <row r="19" spans="1:19">
      <c r="A19" s="1" t="s">
        <v>268</v>
      </c>
      <c r="B19" s="1"/>
      <c r="C19" s="4"/>
      <c r="D19" s="1" t="s">
        <v>64</v>
      </c>
      <c r="E19" s="4" t="s">
        <v>54</v>
      </c>
      <c r="F19" s="4" t="s">
        <v>59</v>
      </c>
      <c r="G19" s="4" t="s">
        <v>58</v>
      </c>
      <c r="H19" s="1"/>
      <c r="I19" s="4" t="s">
        <v>68</v>
      </c>
      <c r="J19" s="1" t="str">
        <f t="shared" si="0"/>
        <v>DB1001.6</v>
      </c>
      <c r="K19" s="1" t="s">
        <v>18</v>
      </c>
      <c r="L19" s="1">
        <v>1001</v>
      </c>
      <c r="M19" s="1">
        <v>6</v>
      </c>
      <c r="N19" s="1"/>
      <c r="O19" s="1">
        <v>2</v>
      </c>
      <c r="P19" s="1" t="s">
        <v>25</v>
      </c>
      <c r="Q19" s="1" t="str">
        <f t="shared" si="1"/>
        <v/>
      </c>
      <c r="R19" s="1" t="s">
        <v>20</v>
      </c>
      <c r="S19" s="1" t="s">
        <v>21</v>
      </c>
    </row>
    <row r="20" spans="1:19">
      <c r="A20" s="1" t="s">
        <v>269</v>
      </c>
      <c r="B20" s="1"/>
      <c r="C20" s="1"/>
      <c r="D20" s="1" t="s">
        <v>65</v>
      </c>
      <c r="E20" s="4" t="s">
        <v>55</v>
      </c>
      <c r="F20" s="4" t="s">
        <v>72</v>
      </c>
      <c r="G20" s="4" t="s">
        <v>57</v>
      </c>
      <c r="H20" s="1"/>
      <c r="I20" s="4" t="s">
        <v>68</v>
      </c>
      <c r="J20" s="1" t="str">
        <f t="shared" si="0"/>
        <v>DB1001.8</v>
      </c>
      <c r="K20" s="1" t="s">
        <v>18</v>
      </c>
      <c r="L20" s="1">
        <v>1001</v>
      </c>
      <c r="M20" s="1">
        <v>8</v>
      </c>
      <c r="N20" s="1"/>
      <c r="O20" s="1">
        <v>2</v>
      </c>
      <c r="P20" s="1" t="s">
        <v>25</v>
      </c>
      <c r="Q20" s="1" t="str">
        <f t="shared" si="1"/>
        <v/>
      </c>
      <c r="R20" s="1" t="s">
        <v>20</v>
      </c>
      <c r="S20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tabSelected="1" workbookViewId="0">
      <selection activeCell="A2" sqref="A2:A20"/>
    </sheetView>
  </sheetViews>
  <sheetFormatPr defaultColWidth="28.125" defaultRowHeight="14.25"/>
  <cols>
    <col min="1" max="1" width="28.75" style="1" bestFit="1" customWidth="1"/>
    <col min="2" max="2" width="13.875" style="1" bestFit="1" customWidth="1"/>
    <col min="3" max="3" width="8.125" style="1" bestFit="1" customWidth="1"/>
    <col min="4" max="4" width="8.75" style="1" bestFit="1" customWidth="1"/>
    <col min="5" max="5" width="15.875" style="1" bestFit="1" customWidth="1"/>
    <col min="6" max="6" width="8.5" style="1" bestFit="1" customWidth="1"/>
    <col min="7" max="7" width="15.2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280</v>
      </c>
      <c r="B2" s="1" t="s">
        <v>262</v>
      </c>
      <c r="D2" s="1" t="s">
        <v>31</v>
      </c>
      <c r="G2" s="1" t="s">
        <v>273</v>
      </c>
    </row>
    <row r="3" spans="1:7">
      <c r="A3" s="1" t="s">
        <v>274</v>
      </c>
      <c r="B3" s="1" t="s">
        <v>144</v>
      </c>
      <c r="D3" s="1" t="s">
        <v>31</v>
      </c>
      <c r="G3" s="1" t="s">
        <v>273</v>
      </c>
    </row>
    <row r="4" spans="1:7">
      <c r="A4" s="1" t="s">
        <v>275</v>
      </c>
      <c r="B4" s="1" t="s">
        <v>147</v>
      </c>
      <c r="D4" s="1" t="s">
        <v>31</v>
      </c>
      <c r="G4" s="1" t="s">
        <v>273</v>
      </c>
    </row>
    <row r="5" spans="1:7">
      <c r="A5" s="1" t="s">
        <v>276</v>
      </c>
      <c r="B5" s="1" t="s">
        <v>52</v>
      </c>
      <c r="D5" s="1" t="s">
        <v>31</v>
      </c>
      <c r="G5" s="1" t="s">
        <v>273</v>
      </c>
    </row>
    <row r="6" spans="1:7">
      <c r="A6" s="1" t="s">
        <v>225</v>
      </c>
      <c r="B6" s="1" t="s">
        <v>52</v>
      </c>
      <c r="D6" s="1" t="s">
        <v>31</v>
      </c>
      <c r="E6" s="3"/>
      <c r="G6" s="1" t="s">
        <v>184</v>
      </c>
    </row>
    <row r="7" spans="1:7">
      <c r="A7" s="1" t="s">
        <v>226</v>
      </c>
      <c r="B7" s="1" t="s">
        <v>32</v>
      </c>
      <c r="D7" s="1" t="s">
        <v>31</v>
      </c>
      <c r="E7" s="5" t="s">
        <v>60</v>
      </c>
      <c r="G7" s="1" t="s">
        <v>184</v>
      </c>
    </row>
    <row r="8" spans="1:7">
      <c r="A8" s="1" t="s">
        <v>227</v>
      </c>
      <c r="B8" s="4" t="s">
        <v>70</v>
      </c>
      <c r="D8" s="1" t="s">
        <v>31</v>
      </c>
      <c r="E8" s="3"/>
      <c r="G8" s="1" t="s">
        <v>184</v>
      </c>
    </row>
    <row r="9" spans="1:7">
      <c r="A9" s="1" t="s">
        <v>228</v>
      </c>
      <c r="B9" s="1" t="s">
        <v>52</v>
      </c>
      <c r="D9" s="1" t="s">
        <v>31</v>
      </c>
      <c r="G9" s="1" t="s">
        <v>34</v>
      </c>
    </row>
    <row r="10" spans="1:7">
      <c r="A10" s="1" t="s">
        <v>229</v>
      </c>
      <c r="B10" s="1" t="s">
        <v>32</v>
      </c>
      <c r="D10" s="1" t="s">
        <v>31</v>
      </c>
      <c r="E10" s="5" t="s">
        <v>60</v>
      </c>
      <c r="G10" s="1" t="s">
        <v>34</v>
      </c>
    </row>
    <row r="11" spans="1:7">
      <c r="A11" s="1" t="s">
        <v>230</v>
      </c>
      <c r="B11" s="4" t="s">
        <v>70</v>
      </c>
      <c r="D11" s="1" t="s">
        <v>31</v>
      </c>
      <c r="G11" s="1" t="s">
        <v>34</v>
      </c>
    </row>
    <row r="12" spans="1:7">
      <c r="A12" s="1" t="s">
        <v>231</v>
      </c>
      <c r="B12" s="1" t="s">
        <v>53</v>
      </c>
      <c r="D12" s="1" t="s">
        <v>31</v>
      </c>
      <c r="G12" s="1" t="s">
        <v>34</v>
      </c>
    </row>
    <row r="13" spans="1:7">
      <c r="A13" s="1" t="s">
        <v>263</v>
      </c>
      <c r="B13" s="4" t="s">
        <v>71</v>
      </c>
      <c r="D13" s="1" t="s">
        <v>31</v>
      </c>
      <c r="E13" s="5" t="s">
        <v>60</v>
      </c>
      <c r="G13" s="1" t="s">
        <v>67</v>
      </c>
    </row>
    <row r="14" spans="1:7">
      <c r="A14" s="1" t="s">
        <v>264</v>
      </c>
      <c r="B14" s="4" t="s">
        <v>70</v>
      </c>
      <c r="D14" s="1" t="s">
        <v>31</v>
      </c>
      <c r="G14" s="1" t="s">
        <v>67</v>
      </c>
    </row>
    <row r="15" spans="1:7">
      <c r="A15" s="1" t="s">
        <v>265</v>
      </c>
      <c r="B15" s="1" t="s">
        <v>74</v>
      </c>
      <c r="D15" s="1" t="s">
        <v>31</v>
      </c>
      <c r="G15" s="1" t="s">
        <v>67</v>
      </c>
    </row>
    <row r="16" spans="1:7">
      <c r="A16" s="1" t="s">
        <v>281</v>
      </c>
      <c r="B16" s="1" t="s">
        <v>262</v>
      </c>
      <c r="D16" s="1" t="s">
        <v>35</v>
      </c>
      <c r="G16" s="1" t="s">
        <v>273</v>
      </c>
    </row>
    <row r="17" spans="1:7">
      <c r="A17" s="1" t="s">
        <v>266</v>
      </c>
      <c r="B17" s="1" t="s">
        <v>72</v>
      </c>
      <c r="D17" s="1" t="s">
        <v>35</v>
      </c>
      <c r="G17" s="1" t="s">
        <v>184</v>
      </c>
    </row>
    <row r="18" spans="1:7">
      <c r="A18" s="1" t="s">
        <v>267</v>
      </c>
      <c r="B18" s="1" t="s">
        <v>72</v>
      </c>
      <c r="D18" s="1" t="s">
        <v>35</v>
      </c>
      <c r="G18" s="1" t="s">
        <v>34</v>
      </c>
    </row>
    <row r="19" spans="1:7">
      <c r="A19" s="1" t="s">
        <v>268</v>
      </c>
      <c r="B19" s="1" t="s">
        <v>59</v>
      </c>
      <c r="D19" s="1" t="s">
        <v>35</v>
      </c>
      <c r="G19" s="1" t="s">
        <v>34</v>
      </c>
    </row>
    <row r="20" spans="1:7">
      <c r="A20" s="1" t="s">
        <v>269</v>
      </c>
      <c r="B20" s="1" t="s">
        <v>72</v>
      </c>
      <c r="D20" s="1" t="s">
        <v>35</v>
      </c>
      <c r="G20" s="1" t="s">
        <v>67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pane xSplit="1" topLeftCell="B1" activePane="topRight" state="frozen"/>
      <selection pane="topRight" activeCell="D1" sqref="D1:D1048576"/>
    </sheetView>
  </sheetViews>
  <sheetFormatPr defaultColWidth="9" defaultRowHeight="14.25"/>
  <cols>
    <col min="1" max="1" width="12.25" style="1" customWidth="1"/>
    <col min="2" max="2" width="15.1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10">
      <c r="A1" s="4" t="s">
        <v>73</v>
      </c>
      <c r="B1" s="4" t="s">
        <v>66</v>
      </c>
      <c r="C1" s="1" t="s">
        <v>80</v>
      </c>
      <c r="D1" s="4" t="s">
        <v>63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69</v>
      </c>
    </row>
    <row r="2" spans="1:10">
      <c r="A2" s="1" t="str">
        <f t="shared" ref="A2:A10" si="0">_xlfn.CONCAT(B2,"_",D2)</f>
        <v>MDJ1_BZJ01</v>
      </c>
      <c r="B2" s="4" t="s">
        <v>62</v>
      </c>
      <c r="C2" s="1" t="s">
        <v>79</v>
      </c>
      <c r="D2" s="1" t="s">
        <v>79</v>
      </c>
      <c r="E2" s="1" t="s">
        <v>84</v>
      </c>
      <c r="F2" s="1" t="s">
        <v>78</v>
      </c>
      <c r="G2" s="1" t="s">
        <v>41</v>
      </c>
      <c r="H2" s="1">
        <v>1</v>
      </c>
      <c r="I2" s="1" t="b">
        <v>1</v>
      </c>
    </row>
    <row r="3" spans="1:10">
      <c r="A3" s="1" t="str">
        <f t="shared" si="0"/>
        <v>MDJ1_BZJ02</v>
      </c>
      <c r="B3" s="4" t="s">
        <v>62</v>
      </c>
      <c r="C3" s="1" t="s">
        <v>81</v>
      </c>
      <c r="D3" s="1" t="s">
        <v>81</v>
      </c>
      <c r="E3" s="1" t="s">
        <v>85</v>
      </c>
      <c r="F3" s="1" t="s">
        <v>78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62</v>
      </c>
      <c r="C4" s="1" t="s">
        <v>82</v>
      </c>
      <c r="D4" s="1" t="s">
        <v>82</v>
      </c>
      <c r="E4" s="1" t="s">
        <v>86</v>
      </c>
      <c r="F4" s="1" t="s">
        <v>78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62</v>
      </c>
      <c r="C5" s="1" t="s">
        <v>83</v>
      </c>
      <c r="D5" s="1" t="s">
        <v>83</v>
      </c>
      <c r="E5" s="1" t="s">
        <v>87</v>
      </c>
      <c r="F5" s="1" t="s">
        <v>78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62</v>
      </c>
      <c r="C6" s="1" t="s">
        <v>92</v>
      </c>
      <c r="D6" s="1" t="s">
        <v>92</v>
      </c>
      <c r="E6" s="1" t="s">
        <v>88</v>
      </c>
      <c r="F6" s="1" t="s">
        <v>78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62</v>
      </c>
      <c r="C7" s="1" t="s">
        <v>93</v>
      </c>
      <c r="D7" s="1" t="s">
        <v>93</v>
      </c>
      <c r="E7" s="1" t="s">
        <v>89</v>
      </c>
      <c r="F7" s="1" t="s">
        <v>78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62</v>
      </c>
      <c r="C8" s="1" t="s">
        <v>94</v>
      </c>
      <c r="D8" s="1" t="s">
        <v>94</v>
      </c>
      <c r="E8" s="1" t="s">
        <v>90</v>
      </c>
      <c r="F8" s="1" t="s">
        <v>78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62</v>
      </c>
      <c r="C9" s="1" t="s">
        <v>95</v>
      </c>
      <c r="D9" s="1" t="s">
        <v>95</v>
      </c>
      <c r="E9" s="1" t="s">
        <v>91</v>
      </c>
      <c r="F9" s="1" t="s">
        <v>78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62</v>
      </c>
      <c r="C10" s="1" t="s">
        <v>124</v>
      </c>
      <c r="D10" s="1" t="s">
        <v>124</v>
      </c>
      <c r="E10" s="1" t="s">
        <v>123</v>
      </c>
      <c r="F10" s="6" t="s">
        <v>127</v>
      </c>
      <c r="G10" s="1" t="s">
        <v>41</v>
      </c>
      <c r="H10" s="1">
        <v>1</v>
      </c>
      <c r="I10" s="1" t="b">
        <v>1</v>
      </c>
    </row>
    <row r="11" spans="1:10">
      <c r="A11" s="1" t="str">
        <f t="shared" ref="A11" si="1">_xlfn.CONCAT(B11,"_",D11)</f>
        <v>MDJ1_MDJ01</v>
      </c>
      <c r="B11" s="4" t="s">
        <v>62</v>
      </c>
      <c r="C11" s="4" t="s">
        <v>64</v>
      </c>
      <c r="D11" s="4" t="s">
        <v>64</v>
      </c>
      <c r="E11" s="1" t="s">
        <v>112</v>
      </c>
      <c r="F11" s="4" t="s">
        <v>61</v>
      </c>
      <c r="G11" s="1" t="s">
        <v>41</v>
      </c>
      <c r="H11" s="1">
        <v>1</v>
      </c>
      <c r="I11" s="1" t="b">
        <v>1</v>
      </c>
    </row>
    <row r="12" spans="1:10">
      <c r="A12" s="1" t="str">
        <f t="shared" ref="A12:A27" si="2">_xlfn.CONCAT(B12,"_",D12)</f>
        <v>MDJ1_MDJ02</v>
      </c>
      <c r="B12" s="4" t="s">
        <v>62</v>
      </c>
      <c r="C12" s="4" t="s">
        <v>113</v>
      </c>
      <c r="D12" s="4" t="s">
        <v>113</v>
      </c>
      <c r="E12" s="1" t="s">
        <v>118</v>
      </c>
      <c r="F12" s="4" t="s">
        <v>61</v>
      </c>
      <c r="G12" s="1" t="s">
        <v>41</v>
      </c>
      <c r="H12" s="1">
        <v>2</v>
      </c>
      <c r="I12" s="1" t="b">
        <v>1</v>
      </c>
    </row>
    <row r="13" spans="1:10">
      <c r="A13" s="1" t="str">
        <f t="shared" si="2"/>
        <v>MDJ1_MDJ03</v>
      </c>
      <c r="B13" s="4" t="s">
        <v>62</v>
      </c>
      <c r="C13" s="4" t="s">
        <v>114</v>
      </c>
      <c r="D13" s="4" t="s">
        <v>114</v>
      </c>
      <c r="E13" s="1" t="s">
        <v>119</v>
      </c>
      <c r="F13" s="4" t="s">
        <v>61</v>
      </c>
      <c r="G13" s="1" t="s">
        <v>41</v>
      </c>
      <c r="H13" s="1">
        <v>3</v>
      </c>
      <c r="I13" s="1" t="b">
        <v>1</v>
      </c>
    </row>
    <row r="14" spans="1:10">
      <c r="A14" s="1" t="str">
        <f t="shared" si="2"/>
        <v>MDJ1_TBJ01</v>
      </c>
      <c r="B14" s="4" t="s">
        <v>62</v>
      </c>
      <c r="C14" s="1" t="s">
        <v>131</v>
      </c>
      <c r="D14" s="1" t="s">
        <v>131</v>
      </c>
      <c r="E14" s="1" t="s">
        <v>129</v>
      </c>
      <c r="F14" s="6" t="s">
        <v>128</v>
      </c>
      <c r="G14" s="1" t="s">
        <v>41</v>
      </c>
      <c r="H14" s="1">
        <v>1</v>
      </c>
      <c r="I14" s="1" t="b">
        <v>1</v>
      </c>
    </row>
    <row r="15" spans="1:10">
      <c r="A15" s="1" t="str">
        <f t="shared" si="2"/>
        <v>MDJ2_BZJ09</v>
      </c>
      <c r="B15" s="1" t="s">
        <v>77</v>
      </c>
      <c r="C15" s="1" t="s">
        <v>79</v>
      </c>
      <c r="D15" s="1" t="s">
        <v>96</v>
      </c>
      <c r="E15" s="1" t="s">
        <v>104</v>
      </c>
      <c r="F15" s="1" t="s">
        <v>78</v>
      </c>
      <c r="G15" s="1" t="s">
        <v>41</v>
      </c>
      <c r="H15" s="1">
        <v>1</v>
      </c>
      <c r="I15" s="1" t="b">
        <v>1</v>
      </c>
    </row>
    <row r="16" spans="1:10">
      <c r="A16" s="1" t="str">
        <f t="shared" si="2"/>
        <v>MDJ2_BZJ10</v>
      </c>
      <c r="B16" s="1" t="s">
        <v>77</v>
      </c>
      <c r="C16" s="1" t="s">
        <v>81</v>
      </c>
      <c r="D16" s="1" t="s">
        <v>97</v>
      </c>
      <c r="E16" s="1" t="s">
        <v>105</v>
      </c>
      <c r="F16" s="1" t="s">
        <v>78</v>
      </c>
      <c r="G16" s="1" t="s">
        <v>41</v>
      </c>
      <c r="H16" s="1">
        <v>2</v>
      </c>
      <c r="I16" s="1" t="b">
        <v>1</v>
      </c>
    </row>
    <row r="17" spans="1:9">
      <c r="A17" s="1" t="str">
        <f t="shared" si="2"/>
        <v>MDJ2_BZJ11</v>
      </c>
      <c r="B17" s="1" t="s">
        <v>77</v>
      </c>
      <c r="C17" s="1" t="s">
        <v>82</v>
      </c>
      <c r="D17" s="1" t="s">
        <v>98</v>
      </c>
      <c r="E17" s="1" t="s">
        <v>106</v>
      </c>
      <c r="F17" s="1" t="s">
        <v>78</v>
      </c>
      <c r="G17" s="1" t="s">
        <v>41</v>
      </c>
      <c r="H17" s="1">
        <v>3</v>
      </c>
      <c r="I17" s="1" t="b">
        <v>1</v>
      </c>
    </row>
    <row r="18" spans="1:9">
      <c r="A18" s="1" t="str">
        <f t="shared" si="2"/>
        <v>MDJ2_BZJ12</v>
      </c>
      <c r="B18" s="1" t="s">
        <v>77</v>
      </c>
      <c r="C18" s="1" t="s">
        <v>83</v>
      </c>
      <c r="D18" s="1" t="s">
        <v>99</v>
      </c>
      <c r="E18" s="1" t="s">
        <v>107</v>
      </c>
      <c r="F18" s="1" t="s">
        <v>78</v>
      </c>
      <c r="G18" s="1" t="s">
        <v>41</v>
      </c>
      <c r="H18" s="1">
        <v>4</v>
      </c>
      <c r="I18" s="1" t="b">
        <v>1</v>
      </c>
    </row>
    <row r="19" spans="1:9">
      <c r="A19" s="1" t="str">
        <f t="shared" si="2"/>
        <v>MDJ2_BZJ13</v>
      </c>
      <c r="B19" s="1" t="s">
        <v>77</v>
      </c>
      <c r="C19" s="1" t="s">
        <v>92</v>
      </c>
      <c r="D19" s="1" t="s">
        <v>100</v>
      </c>
      <c r="E19" s="1" t="s">
        <v>108</v>
      </c>
      <c r="F19" s="1" t="s">
        <v>78</v>
      </c>
      <c r="G19" s="1" t="s">
        <v>41</v>
      </c>
      <c r="H19" s="1">
        <v>5</v>
      </c>
      <c r="I19" s="1" t="b">
        <v>1</v>
      </c>
    </row>
    <row r="20" spans="1:9">
      <c r="A20" s="1" t="str">
        <f t="shared" si="2"/>
        <v>MDJ2_BZJ14</v>
      </c>
      <c r="B20" s="1" t="s">
        <v>77</v>
      </c>
      <c r="C20" s="1" t="s">
        <v>93</v>
      </c>
      <c r="D20" s="1" t="s">
        <v>101</v>
      </c>
      <c r="E20" s="1" t="s">
        <v>109</v>
      </c>
      <c r="F20" s="1" t="s">
        <v>78</v>
      </c>
      <c r="G20" s="1" t="s">
        <v>41</v>
      </c>
      <c r="H20" s="1">
        <v>6</v>
      </c>
      <c r="I20" s="1" t="b">
        <v>1</v>
      </c>
    </row>
    <row r="21" spans="1:9">
      <c r="A21" s="1" t="str">
        <f t="shared" si="2"/>
        <v>MDJ2_BZJ15</v>
      </c>
      <c r="B21" s="1" t="s">
        <v>77</v>
      </c>
      <c r="C21" s="1" t="s">
        <v>94</v>
      </c>
      <c r="D21" s="1" t="s">
        <v>102</v>
      </c>
      <c r="E21" s="1" t="s">
        <v>110</v>
      </c>
      <c r="F21" s="1" t="s">
        <v>78</v>
      </c>
      <c r="G21" s="1" t="s">
        <v>41</v>
      </c>
      <c r="H21" s="1">
        <v>7</v>
      </c>
      <c r="I21" s="1" t="b">
        <v>1</v>
      </c>
    </row>
    <row r="22" spans="1:9">
      <c r="A22" s="1" t="str">
        <f t="shared" si="2"/>
        <v>MDJ2_BZJ16</v>
      </c>
      <c r="B22" s="1" t="s">
        <v>77</v>
      </c>
      <c r="C22" s="1" t="s">
        <v>95</v>
      </c>
      <c r="D22" s="1" t="s">
        <v>103</v>
      </c>
      <c r="E22" s="1" t="s">
        <v>111</v>
      </c>
      <c r="F22" s="1" t="s">
        <v>78</v>
      </c>
      <c r="G22" s="1" t="s">
        <v>41</v>
      </c>
      <c r="H22" s="1">
        <v>8</v>
      </c>
      <c r="I22" s="1" t="b">
        <v>1</v>
      </c>
    </row>
    <row r="23" spans="1:9">
      <c r="A23" s="1" t="str">
        <f t="shared" si="2"/>
        <v>MDJ2_CZJ02</v>
      </c>
      <c r="B23" s="1" t="s">
        <v>77</v>
      </c>
      <c r="C23" s="1" t="s">
        <v>125</v>
      </c>
      <c r="D23" s="1" t="s">
        <v>125</v>
      </c>
      <c r="E23" s="1" t="s">
        <v>126</v>
      </c>
      <c r="F23" s="6" t="s">
        <v>127</v>
      </c>
      <c r="G23" s="1" t="s">
        <v>41</v>
      </c>
      <c r="H23" s="1">
        <v>2</v>
      </c>
      <c r="I23" s="1" t="b">
        <v>1</v>
      </c>
    </row>
    <row r="24" spans="1:9">
      <c r="A24" s="1" t="str">
        <f t="shared" si="2"/>
        <v>MDJ2_MDJ04</v>
      </c>
      <c r="B24" s="1" t="s">
        <v>77</v>
      </c>
      <c r="C24" s="4" t="s">
        <v>115</v>
      </c>
      <c r="D24" s="4" t="s">
        <v>115</v>
      </c>
      <c r="E24" s="1" t="s">
        <v>120</v>
      </c>
      <c r="F24" s="4" t="s">
        <v>61</v>
      </c>
      <c r="G24" s="1" t="s">
        <v>41</v>
      </c>
      <c r="H24" s="1">
        <v>1</v>
      </c>
      <c r="I24" s="1" t="b">
        <v>1</v>
      </c>
    </row>
    <row r="25" spans="1:9">
      <c r="A25" s="1" t="str">
        <f t="shared" si="2"/>
        <v>MDJ2_MDJ05</v>
      </c>
      <c r="B25" s="1" t="s">
        <v>77</v>
      </c>
      <c r="C25" s="4" t="s">
        <v>116</v>
      </c>
      <c r="D25" s="4" t="s">
        <v>116</v>
      </c>
      <c r="E25" s="1" t="s">
        <v>121</v>
      </c>
      <c r="F25" s="4" t="s">
        <v>61</v>
      </c>
      <c r="G25" s="1" t="s">
        <v>41</v>
      </c>
      <c r="H25" s="1">
        <v>2</v>
      </c>
      <c r="I25" s="1" t="b">
        <v>1</v>
      </c>
    </row>
    <row r="26" spans="1:9">
      <c r="A26" s="1" t="str">
        <f t="shared" si="2"/>
        <v>MDJ2_MDJ06</v>
      </c>
      <c r="B26" s="1" t="s">
        <v>77</v>
      </c>
      <c r="C26" s="4" t="s">
        <v>117</v>
      </c>
      <c r="D26" s="4" t="s">
        <v>117</v>
      </c>
      <c r="E26" s="1" t="s">
        <v>122</v>
      </c>
      <c r="F26" s="4" t="s">
        <v>61</v>
      </c>
      <c r="G26" s="1" t="s">
        <v>41</v>
      </c>
      <c r="H26" s="1">
        <v>3</v>
      </c>
      <c r="I26" s="1" t="b">
        <v>1</v>
      </c>
    </row>
    <row r="27" spans="1:9">
      <c r="A27" s="1" t="str">
        <f t="shared" si="2"/>
        <v>MDJ2_TBJ02</v>
      </c>
      <c r="B27" s="1" t="s">
        <v>77</v>
      </c>
      <c r="C27" s="4" t="s">
        <v>117</v>
      </c>
      <c r="D27" s="1" t="s">
        <v>132</v>
      </c>
      <c r="E27" s="1" t="s">
        <v>130</v>
      </c>
      <c r="F27" s="6" t="s">
        <v>128</v>
      </c>
      <c r="G27" s="1" t="s">
        <v>41</v>
      </c>
      <c r="H27" s="1">
        <v>2</v>
      </c>
      <c r="I27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"/>
  <sheetViews>
    <sheetView workbookViewId="0">
      <pane xSplit="1" topLeftCell="B1" activePane="topRight" state="frozen"/>
      <selection pane="topRight" activeCell="A2" sqref="A2:A20"/>
    </sheetView>
  </sheetViews>
  <sheetFormatPr defaultColWidth="9" defaultRowHeight="14.25"/>
  <cols>
    <col min="1" max="1" width="28.7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66</v>
      </c>
      <c r="C1" s="1" t="s">
        <v>1</v>
      </c>
      <c r="D1" s="1" t="s">
        <v>221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20" si="0">_xlfn.CONCAT(IF(ISBLANK(B2),"",_xlfn.CONCAT(B2,".")),IF(ISBLANK(C2),"",_xlfn.CONCAT(C2,".")),IF(ISBLANK(D2),"",_xlfn.CONCAT(D2,".")),IF(ISBLANK(E2),"",_xlfn.CONCAT(E2,".")),F2)</f>
        <v>MDJ1.Input.Heartbeat</v>
      </c>
      <c r="B2" s="1" t="s">
        <v>62</v>
      </c>
      <c r="E2" s="1" t="s">
        <v>279</v>
      </c>
      <c r="F2" s="1" t="s">
        <v>262</v>
      </c>
      <c r="G2" s="1" t="s">
        <v>133</v>
      </c>
      <c r="I2" s="1" t="s">
        <v>149</v>
      </c>
      <c r="J2" s="1" t="str">
        <f t="shared" ref="J2:J5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262</v>
      </c>
      <c r="W2" s="1" t="s">
        <v>31</v>
      </c>
      <c r="Z2" s="1" t="s">
        <v>273</v>
      </c>
    </row>
    <row r="3" spans="1:26">
      <c r="A3" s="1" t="str">
        <f t="shared" si="0"/>
        <v>MDJ1.ManualMode</v>
      </c>
      <c r="B3" s="1" t="s">
        <v>62</v>
      </c>
      <c r="F3" s="1" t="s">
        <v>145</v>
      </c>
      <c r="G3" s="1" t="s">
        <v>134</v>
      </c>
      <c r="I3" s="1" t="s">
        <v>149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  <c r="U3" s="1" t="s">
        <v>144</v>
      </c>
      <c r="W3" s="1" t="s">
        <v>31</v>
      </c>
      <c r="Z3" s="1" t="s">
        <v>273</v>
      </c>
    </row>
    <row r="4" spans="1:26">
      <c r="A4" s="1" t="str">
        <f t="shared" si="0"/>
        <v>MDJ1.AutoMode</v>
      </c>
      <c r="B4" s="1" t="s">
        <v>62</v>
      </c>
      <c r="F4" s="1" t="s">
        <v>148</v>
      </c>
      <c r="G4" s="1" t="s">
        <v>135</v>
      </c>
      <c r="I4" s="1" t="s">
        <v>149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  <c r="U4" s="1" t="s">
        <v>147</v>
      </c>
      <c r="W4" s="1" t="s">
        <v>31</v>
      </c>
      <c r="Z4" s="1" t="s">
        <v>273</v>
      </c>
    </row>
    <row r="5" spans="1:26">
      <c r="A5" s="1" t="str">
        <f t="shared" si="0"/>
        <v>MDJ1.RunningStatus</v>
      </c>
      <c r="B5" s="1" t="s">
        <v>62</v>
      </c>
      <c r="F5" s="1" t="s">
        <v>146</v>
      </c>
      <c r="G5" s="1" t="s">
        <v>136</v>
      </c>
      <c r="I5" s="1" t="s">
        <v>149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  <c r="U5" s="1" t="s">
        <v>52</v>
      </c>
      <c r="W5" s="1" t="s">
        <v>31</v>
      </c>
      <c r="Z5" s="1" t="s">
        <v>273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79</v>
      </c>
      <c r="E6" s="1" t="s">
        <v>24</v>
      </c>
      <c r="F6" s="4" t="s">
        <v>52</v>
      </c>
      <c r="G6" s="1" t="s">
        <v>42</v>
      </c>
      <c r="I6" s="4" t="s">
        <v>68</v>
      </c>
      <c r="J6" s="1" t="str">
        <f t="shared" ref="J6:J20" si="2">_xlfn.CONCAT(K6,L6,".",M6,IF(ISBLANK(N6),"",_xlfn.CONCAT(".",N6)))</f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20" si="3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184</v>
      </c>
    </row>
    <row r="7" spans="1:26">
      <c r="A7" s="1" t="str">
        <f t="shared" si="0"/>
        <v>BZJ01.Bagging.Request</v>
      </c>
      <c r="D7" s="1" t="s">
        <v>79</v>
      </c>
      <c r="E7" s="1" t="s">
        <v>24</v>
      </c>
      <c r="F7" s="1" t="s">
        <v>22</v>
      </c>
      <c r="G7" s="1" t="s">
        <v>43</v>
      </c>
      <c r="I7" s="4" t="s">
        <v>68</v>
      </c>
      <c r="J7" s="1" t="str">
        <f t="shared" si="2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3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184</v>
      </c>
    </row>
    <row r="8" spans="1:26">
      <c r="A8" s="1" t="str">
        <f t="shared" si="0"/>
        <v>BZJ01.Bagging.Code</v>
      </c>
      <c r="D8" s="1" t="s">
        <v>79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2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70</v>
      </c>
      <c r="W8" s="1" t="s">
        <v>31</v>
      </c>
      <c r="X8" s="3"/>
      <c r="Z8" s="1" t="s">
        <v>184</v>
      </c>
    </row>
    <row r="9" spans="1:26">
      <c r="A9" s="1" t="str">
        <f t="shared" si="0"/>
        <v>MDJ01.Palletizing.Status</v>
      </c>
      <c r="D9" s="1" t="s">
        <v>64</v>
      </c>
      <c r="E9" s="4" t="s">
        <v>54</v>
      </c>
      <c r="F9" s="4" t="s">
        <v>52</v>
      </c>
      <c r="G9" s="1" t="s">
        <v>45</v>
      </c>
      <c r="I9" s="4" t="s">
        <v>68</v>
      </c>
      <c r="J9" s="1" t="str">
        <f t="shared" si="2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3"/>
        <v/>
      </c>
      <c r="R9" s="1" t="s">
        <v>20</v>
      </c>
      <c r="S9" s="1" t="s">
        <v>21</v>
      </c>
      <c r="U9" s="1" t="s">
        <v>52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64</v>
      </c>
      <c r="E10" s="4" t="s">
        <v>54</v>
      </c>
      <c r="F10" s="1" t="s">
        <v>22</v>
      </c>
      <c r="G10" s="1" t="s">
        <v>43</v>
      </c>
      <c r="I10" s="4" t="s">
        <v>68</v>
      </c>
      <c r="J10" s="1" t="str">
        <f t="shared" si="2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3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60</v>
      </c>
      <c r="Z10" s="1" t="s">
        <v>34</v>
      </c>
    </row>
    <row r="11" spans="1:26">
      <c r="A11" s="1" t="str">
        <f t="shared" si="0"/>
        <v>MDJ01.Palletizing.Code</v>
      </c>
      <c r="D11" s="1" t="s">
        <v>64</v>
      </c>
      <c r="E11" s="4" t="s">
        <v>54</v>
      </c>
      <c r="F11" s="1" t="s">
        <v>23</v>
      </c>
      <c r="G11" s="1" t="s">
        <v>46</v>
      </c>
      <c r="I11" s="4" t="s">
        <v>48</v>
      </c>
      <c r="J11" s="1" t="str">
        <f t="shared" si="2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70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64</v>
      </c>
      <c r="E12" s="4" t="s">
        <v>54</v>
      </c>
      <c r="F12" s="4" t="s">
        <v>53</v>
      </c>
      <c r="G12" s="1" t="s">
        <v>47</v>
      </c>
      <c r="I12" s="4" t="s">
        <v>68</v>
      </c>
      <c r="J12" s="1" t="str">
        <f t="shared" si="2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3"/>
        <v/>
      </c>
      <c r="R12" s="1" t="s">
        <v>20</v>
      </c>
      <c r="S12" s="1" t="s">
        <v>21</v>
      </c>
      <c r="U12" s="1" t="s">
        <v>53</v>
      </c>
      <c r="W12" s="1" t="s">
        <v>31</v>
      </c>
      <c r="Z12" s="1" t="s">
        <v>34</v>
      </c>
    </row>
    <row r="13" spans="1:26">
      <c r="A13" s="1" t="str">
        <f t="shared" si="0"/>
        <v>CDJ01.Grouping.Request</v>
      </c>
      <c r="D13" s="1" t="s">
        <v>65</v>
      </c>
      <c r="E13" s="4" t="s">
        <v>55</v>
      </c>
      <c r="F13" s="1" t="s">
        <v>22</v>
      </c>
      <c r="G13" s="4" t="s">
        <v>49</v>
      </c>
      <c r="I13" s="4" t="s">
        <v>68</v>
      </c>
      <c r="J13" s="1" t="str">
        <f t="shared" si="2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3"/>
        <v/>
      </c>
      <c r="R13" s="1" t="s">
        <v>20</v>
      </c>
      <c r="S13" s="1" t="s">
        <v>21</v>
      </c>
      <c r="U13" s="4" t="s">
        <v>71</v>
      </c>
      <c r="W13" s="1" t="s">
        <v>31</v>
      </c>
      <c r="X13" s="5" t="s">
        <v>60</v>
      </c>
      <c r="Z13" s="1" t="s">
        <v>67</v>
      </c>
    </row>
    <row r="14" spans="1:26">
      <c r="A14" s="1" t="str">
        <f t="shared" si="0"/>
        <v>CDJ01.Grouping.Code</v>
      </c>
      <c r="D14" s="1" t="s">
        <v>65</v>
      </c>
      <c r="E14" s="4" t="s">
        <v>55</v>
      </c>
      <c r="F14" s="1" t="s">
        <v>23</v>
      </c>
      <c r="G14" s="4" t="s">
        <v>50</v>
      </c>
      <c r="I14" s="4" t="s">
        <v>48</v>
      </c>
      <c r="J14" s="1" t="str">
        <f t="shared" si="2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70</v>
      </c>
      <c r="W14" s="1" t="s">
        <v>31</v>
      </c>
      <c r="Z14" s="1" t="s">
        <v>67</v>
      </c>
    </row>
    <row r="15" spans="1:26">
      <c r="A15" s="1" t="str">
        <f t="shared" si="0"/>
        <v>CDJ01.Grouping.PalletCode</v>
      </c>
      <c r="D15" s="1" t="s">
        <v>65</v>
      </c>
      <c r="E15" s="4" t="s">
        <v>55</v>
      </c>
      <c r="F15" s="1" t="s">
        <v>74</v>
      </c>
      <c r="G15" s="4" t="s">
        <v>76</v>
      </c>
      <c r="I15" s="4" t="s">
        <v>48</v>
      </c>
      <c r="J15" s="1" t="str">
        <f t="shared" ref="J15:J16" si="4">_xlfn.CONCAT(K15,L15,".",M15,IF(ISBLANK(N15),"",_xlfn.CONCAT(".",N15)))</f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74</v>
      </c>
      <c r="W15" s="1" t="s">
        <v>31</v>
      </c>
      <c r="Z15" s="1" t="s">
        <v>67</v>
      </c>
    </row>
    <row r="16" spans="1:26">
      <c r="A16" s="1" t="str">
        <f t="shared" ref="A16" si="5">_xlfn.CONCAT(IF(ISBLANK(B16),"",_xlfn.CONCAT(B16,".")),IF(ISBLANK(C16),"",_xlfn.CONCAT(C16,".")),IF(ISBLANK(D16),"",_xlfn.CONCAT(D16,".")),IF(ISBLANK(E16),"",_xlfn.CONCAT(E16,".")),F16)</f>
        <v>MDJ1.OutPut.Heartbeat</v>
      </c>
      <c r="B16" s="1" t="s">
        <v>62</v>
      </c>
      <c r="E16" s="1" t="s">
        <v>278</v>
      </c>
      <c r="F16" s="1" t="s">
        <v>262</v>
      </c>
      <c r="G16" s="1" t="s">
        <v>133</v>
      </c>
      <c r="I16" s="1" t="s">
        <v>149</v>
      </c>
      <c r="J16" s="1" t="str">
        <f t="shared" si="4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25</v>
      </c>
      <c r="R16" s="1" t="s">
        <v>20</v>
      </c>
      <c r="S16" s="1" t="s">
        <v>21</v>
      </c>
      <c r="U16" s="1" t="s">
        <v>262</v>
      </c>
      <c r="W16" s="1" t="s">
        <v>35</v>
      </c>
      <c r="Z16" s="1" t="s">
        <v>273</v>
      </c>
    </row>
    <row r="17" spans="1:26">
      <c r="A17" s="1" t="str">
        <f t="shared" si="0"/>
        <v>BZJ01.Bagging.ProcessResult</v>
      </c>
      <c r="C17" s="4"/>
      <c r="D17" s="1" t="s">
        <v>79</v>
      </c>
      <c r="E17" s="1" t="s">
        <v>24</v>
      </c>
      <c r="F17" s="4" t="s">
        <v>72</v>
      </c>
      <c r="G17" s="4" t="s">
        <v>51</v>
      </c>
      <c r="I17" s="4" t="s">
        <v>68</v>
      </c>
      <c r="J17" s="1" t="str">
        <f t="shared" si="2"/>
        <v>DB1001.2</v>
      </c>
      <c r="K17" s="1" t="s">
        <v>18</v>
      </c>
      <c r="L17" s="1">
        <v>1001</v>
      </c>
      <c r="M17" s="1">
        <v>2</v>
      </c>
      <c r="O17" s="1">
        <v>2</v>
      </c>
      <c r="P17" s="1" t="s">
        <v>25</v>
      </c>
      <c r="Q17" s="1" t="str">
        <f t="shared" si="3"/>
        <v/>
      </c>
      <c r="R17" s="1" t="s">
        <v>20</v>
      </c>
      <c r="S17" s="1" t="s">
        <v>21</v>
      </c>
      <c r="U17" s="1" t="s">
        <v>72</v>
      </c>
      <c r="W17" s="1" t="s">
        <v>35</v>
      </c>
      <c r="Z17" s="1" t="s">
        <v>184</v>
      </c>
    </row>
    <row r="18" spans="1:26">
      <c r="A18" s="1" t="str">
        <f t="shared" si="0"/>
        <v>MDJ01.Palletizing.ProcessResult</v>
      </c>
      <c r="C18" s="4"/>
      <c r="D18" s="1" t="s">
        <v>64</v>
      </c>
      <c r="E18" s="4" t="s">
        <v>54</v>
      </c>
      <c r="F18" s="4" t="s">
        <v>72</v>
      </c>
      <c r="G18" s="4" t="s">
        <v>56</v>
      </c>
      <c r="I18" s="4" t="s">
        <v>68</v>
      </c>
      <c r="J18" s="1" t="str">
        <f t="shared" si="2"/>
        <v>DB1001.4</v>
      </c>
      <c r="K18" s="1" t="s">
        <v>18</v>
      </c>
      <c r="L18" s="1">
        <v>1001</v>
      </c>
      <c r="M18" s="1">
        <v>4</v>
      </c>
      <c r="O18" s="1">
        <v>2</v>
      </c>
      <c r="P18" s="1" t="s">
        <v>25</v>
      </c>
      <c r="Q18" s="1" t="str">
        <f t="shared" si="3"/>
        <v/>
      </c>
      <c r="R18" s="1" t="s">
        <v>20</v>
      </c>
      <c r="S18" s="1" t="s">
        <v>21</v>
      </c>
      <c r="U18" s="1" t="s">
        <v>72</v>
      </c>
      <c r="W18" s="1" t="s">
        <v>35</v>
      </c>
      <c r="Z18" s="1" t="s">
        <v>34</v>
      </c>
    </row>
    <row r="19" spans="1:26">
      <c r="A19" s="1" t="str">
        <f t="shared" si="0"/>
        <v>MDJ01.Palletizing.Position</v>
      </c>
      <c r="C19" s="4"/>
      <c r="D19" s="1" t="s">
        <v>64</v>
      </c>
      <c r="E19" s="4" t="s">
        <v>54</v>
      </c>
      <c r="F19" s="4" t="s">
        <v>59</v>
      </c>
      <c r="G19" s="4" t="s">
        <v>58</v>
      </c>
      <c r="I19" s="4" t="s">
        <v>68</v>
      </c>
      <c r="J19" s="1" t="str">
        <f t="shared" si="2"/>
        <v>DB1001.6</v>
      </c>
      <c r="K19" s="1" t="s">
        <v>18</v>
      </c>
      <c r="L19" s="1">
        <v>1001</v>
      </c>
      <c r="M19" s="1">
        <v>6</v>
      </c>
      <c r="O19" s="1">
        <v>2</v>
      </c>
      <c r="P19" s="1" t="s">
        <v>25</v>
      </c>
      <c r="Q19" s="1" t="str">
        <f t="shared" si="3"/>
        <v/>
      </c>
      <c r="R19" s="1" t="s">
        <v>20</v>
      </c>
      <c r="S19" s="1" t="s">
        <v>21</v>
      </c>
      <c r="U19" s="1" t="s">
        <v>59</v>
      </c>
      <c r="W19" s="1" t="s">
        <v>35</v>
      </c>
      <c r="Z19" s="1" t="s">
        <v>34</v>
      </c>
    </row>
    <row r="20" spans="1:26">
      <c r="A20" s="1" t="str">
        <f t="shared" si="0"/>
        <v>CDJ01.Grouping.ProcessResult</v>
      </c>
      <c r="D20" s="1" t="s">
        <v>65</v>
      </c>
      <c r="E20" s="4" t="s">
        <v>55</v>
      </c>
      <c r="F20" s="4" t="s">
        <v>72</v>
      </c>
      <c r="G20" s="4" t="s">
        <v>57</v>
      </c>
      <c r="I20" s="4" t="s">
        <v>68</v>
      </c>
      <c r="J20" s="1" t="str">
        <f t="shared" si="2"/>
        <v>DB1001.8</v>
      </c>
      <c r="K20" s="1" t="s">
        <v>18</v>
      </c>
      <c r="L20" s="1">
        <v>1001</v>
      </c>
      <c r="M20" s="1">
        <v>8</v>
      </c>
      <c r="O20" s="1">
        <v>2</v>
      </c>
      <c r="P20" s="1" t="s">
        <v>25</v>
      </c>
      <c r="Q20" s="1" t="str">
        <f t="shared" si="3"/>
        <v/>
      </c>
      <c r="R20" s="1" t="s">
        <v>20</v>
      </c>
      <c r="S20" s="1" t="s">
        <v>21</v>
      </c>
      <c r="U20" s="1" t="s">
        <v>72</v>
      </c>
      <c r="W20" s="1" t="s">
        <v>35</v>
      </c>
      <c r="Z20" s="1" t="s">
        <v>67</v>
      </c>
    </row>
  </sheetData>
  <phoneticPr fontId="2" type="noConversion"/>
  <pageMargins left="0.7" right="0.7" top="0.75" bottom="0.75" header="0.3" footer="0.3"/>
  <pageSetup paperSize="9" orientation="portrait" horizontalDpi="203" verticalDpi="20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FF1D-70F2-49DC-93A3-439F0036F289}">
  <dimension ref="A1:Z22"/>
  <sheetViews>
    <sheetView workbookViewId="0">
      <pane xSplit="1" topLeftCell="B1" activePane="topRight" state="frozen"/>
      <selection pane="topRight" activeCell="G13" sqref="G13"/>
    </sheetView>
  </sheetViews>
  <sheetFormatPr defaultColWidth="9" defaultRowHeight="14.25"/>
  <cols>
    <col min="1" max="1" width="23.87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66</v>
      </c>
      <c r="C1" s="1" t="s">
        <v>1</v>
      </c>
      <c r="D1" s="1" t="s">
        <v>221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22" si="0">_xlfn.CONCAT(IF(ISBLANK(B2),"",_xlfn.CONCAT(B2,".")),IF(ISBLANK(C2),"",_xlfn.CONCAT(C2,".")),IF(ISBLANK(D2),"",_xlfn.CONCAT(D2,".")),IF(ISBLANK(E2),"",_xlfn.CONCAT(E2,".")),F2)</f>
        <v>PMJ1.HeartBeat</v>
      </c>
      <c r="B2" s="1" t="s">
        <v>182</v>
      </c>
      <c r="F2" s="1" t="s">
        <v>138</v>
      </c>
      <c r="G2" s="1" t="s">
        <v>133</v>
      </c>
      <c r="I2" s="1" t="s">
        <v>149</v>
      </c>
      <c r="J2" s="1" t="str">
        <f t="shared" ref="J2:J20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137</v>
      </c>
      <c r="W2" s="1" t="s">
        <v>31</v>
      </c>
      <c r="Z2" s="1" t="s">
        <v>62</v>
      </c>
    </row>
    <row r="3" spans="1:26">
      <c r="A3" s="1" t="str">
        <f t="shared" si="0"/>
        <v>PMJ1.ManualMode</v>
      </c>
      <c r="B3" s="1" t="s">
        <v>182</v>
      </c>
      <c r="F3" s="1" t="s">
        <v>145</v>
      </c>
      <c r="G3" s="1" t="s">
        <v>134</v>
      </c>
      <c r="I3" s="1" t="s">
        <v>149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  <c r="U3" s="1" t="s">
        <v>144</v>
      </c>
      <c r="W3" s="1" t="s">
        <v>31</v>
      </c>
      <c r="Z3" s="1" t="s">
        <v>62</v>
      </c>
    </row>
    <row r="4" spans="1:26">
      <c r="A4" s="1" t="str">
        <f t="shared" si="0"/>
        <v>PMJ1.AutoMode</v>
      </c>
      <c r="B4" s="1" t="s">
        <v>182</v>
      </c>
      <c r="F4" s="1" t="s">
        <v>148</v>
      </c>
      <c r="G4" s="1" t="s">
        <v>135</v>
      </c>
      <c r="I4" s="1" t="s">
        <v>149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  <c r="U4" s="1" t="s">
        <v>147</v>
      </c>
      <c r="W4" s="1" t="s">
        <v>31</v>
      </c>
      <c r="Z4" s="1" t="s">
        <v>62</v>
      </c>
    </row>
    <row r="5" spans="1:26">
      <c r="A5" s="1" t="str">
        <f t="shared" si="0"/>
        <v>PMJ1.RunningStatus</v>
      </c>
      <c r="B5" s="1" t="s">
        <v>182</v>
      </c>
      <c r="F5" s="1" t="s">
        <v>146</v>
      </c>
      <c r="G5" s="1" t="s">
        <v>136</v>
      </c>
      <c r="I5" s="1" t="s">
        <v>149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  <c r="U5" s="1" t="s">
        <v>52</v>
      </c>
      <c r="W5" s="1" t="s">
        <v>31</v>
      </c>
      <c r="Z5" s="1" t="s">
        <v>62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79</v>
      </c>
      <c r="E6" s="1" t="s">
        <v>24</v>
      </c>
      <c r="F6" s="4" t="s">
        <v>52</v>
      </c>
      <c r="G6" s="1" t="s">
        <v>42</v>
      </c>
      <c r="I6" s="4" t="s">
        <v>68</v>
      </c>
      <c r="J6" s="1" t="str">
        <f t="shared" si="1"/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21" si="2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184</v>
      </c>
    </row>
    <row r="7" spans="1:26">
      <c r="A7" s="1" t="str">
        <f t="shared" si="0"/>
        <v>BZJ01.Bagging.Request</v>
      </c>
      <c r="D7" s="1" t="s">
        <v>79</v>
      </c>
      <c r="E7" s="1" t="s">
        <v>24</v>
      </c>
      <c r="F7" s="1" t="s">
        <v>22</v>
      </c>
      <c r="G7" s="1" t="s">
        <v>43</v>
      </c>
      <c r="I7" s="4" t="s">
        <v>68</v>
      </c>
      <c r="J7" s="1" t="str">
        <f t="shared" si="1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2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184</v>
      </c>
    </row>
    <row r="8" spans="1:26">
      <c r="A8" s="1" t="str">
        <f t="shared" si="0"/>
        <v>BZJ01.Bagging.Code</v>
      </c>
      <c r="D8" s="1" t="s">
        <v>79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1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70</v>
      </c>
      <c r="W8" s="1" t="s">
        <v>31</v>
      </c>
      <c r="X8" s="3"/>
      <c r="Z8" s="1" t="s">
        <v>184</v>
      </c>
    </row>
    <row r="9" spans="1:26">
      <c r="A9" s="1" t="str">
        <f t="shared" si="0"/>
        <v>MDJ01.Palletizing.Status</v>
      </c>
      <c r="D9" s="1" t="s">
        <v>64</v>
      </c>
      <c r="E9" s="4" t="s">
        <v>54</v>
      </c>
      <c r="F9" s="4" t="s">
        <v>52</v>
      </c>
      <c r="G9" s="1" t="s">
        <v>45</v>
      </c>
      <c r="I9" s="4" t="s">
        <v>68</v>
      </c>
      <c r="J9" s="1" t="str">
        <f t="shared" si="1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2"/>
        <v/>
      </c>
      <c r="R9" s="1" t="s">
        <v>20</v>
      </c>
      <c r="S9" s="1" t="s">
        <v>21</v>
      </c>
      <c r="U9" s="1" t="s">
        <v>52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64</v>
      </c>
      <c r="E10" s="4" t="s">
        <v>54</v>
      </c>
      <c r="F10" s="1" t="s">
        <v>22</v>
      </c>
      <c r="G10" s="1" t="s">
        <v>43</v>
      </c>
      <c r="I10" s="4" t="s">
        <v>68</v>
      </c>
      <c r="J10" s="1" t="str">
        <f t="shared" si="1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2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60</v>
      </c>
      <c r="Z10" s="1" t="s">
        <v>34</v>
      </c>
    </row>
    <row r="11" spans="1:26">
      <c r="A11" s="1" t="str">
        <f t="shared" si="0"/>
        <v>MDJ01.Palletizing.Code</v>
      </c>
      <c r="D11" s="1" t="s">
        <v>64</v>
      </c>
      <c r="E11" s="4" t="s">
        <v>54</v>
      </c>
      <c r="F11" s="1" t="s">
        <v>23</v>
      </c>
      <c r="G11" s="1" t="s">
        <v>46</v>
      </c>
      <c r="I11" s="4" t="s">
        <v>48</v>
      </c>
      <c r="J11" s="1" t="str">
        <f t="shared" si="1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70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64</v>
      </c>
      <c r="E12" s="4" t="s">
        <v>54</v>
      </c>
      <c r="F12" s="4" t="s">
        <v>53</v>
      </c>
      <c r="G12" s="1" t="s">
        <v>47</v>
      </c>
      <c r="I12" s="4" t="s">
        <v>68</v>
      </c>
      <c r="J12" s="1" t="str">
        <f t="shared" si="1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2"/>
        <v/>
      </c>
      <c r="R12" s="1" t="s">
        <v>20</v>
      </c>
      <c r="S12" s="1" t="s">
        <v>21</v>
      </c>
      <c r="U12" s="1" t="s">
        <v>53</v>
      </c>
      <c r="W12" s="1" t="s">
        <v>31</v>
      </c>
      <c r="Z12" s="1" t="s">
        <v>34</v>
      </c>
    </row>
    <row r="13" spans="1:26">
      <c r="A13" s="1" t="str">
        <f t="shared" si="0"/>
        <v>Grouping.Request</v>
      </c>
      <c r="D13" s="4"/>
      <c r="E13" s="4" t="s">
        <v>55</v>
      </c>
      <c r="F13" s="1" t="s">
        <v>22</v>
      </c>
      <c r="G13" s="4" t="s">
        <v>49</v>
      </c>
      <c r="I13" s="4" t="s">
        <v>68</v>
      </c>
      <c r="J13" s="1" t="str">
        <f t="shared" si="1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2"/>
        <v/>
      </c>
      <c r="R13" s="1" t="s">
        <v>20</v>
      </c>
      <c r="S13" s="1" t="s">
        <v>21</v>
      </c>
      <c r="U13" s="4" t="s">
        <v>71</v>
      </c>
      <c r="W13" s="1" t="s">
        <v>31</v>
      </c>
      <c r="X13" s="5" t="s">
        <v>60</v>
      </c>
      <c r="Z13" s="1" t="s">
        <v>67</v>
      </c>
    </row>
    <row r="14" spans="1:26">
      <c r="A14" s="1" t="str">
        <f t="shared" si="0"/>
        <v>Grouping.Code</v>
      </c>
      <c r="D14" s="4"/>
      <c r="E14" s="4" t="s">
        <v>55</v>
      </c>
      <c r="F14" s="1" t="s">
        <v>23</v>
      </c>
      <c r="G14" s="4" t="s">
        <v>50</v>
      </c>
      <c r="I14" s="4" t="s">
        <v>48</v>
      </c>
      <c r="J14" s="1" t="str">
        <f t="shared" si="1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70</v>
      </c>
      <c r="W14" s="1" t="s">
        <v>31</v>
      </c>
      <c r="Z14" s="1" t="s">
        <v>67</v>
      </c>
    </row>
    <row r="15" spans="1:26">
      <c r="A15" s="1" t="str">
        <f t="shared" si="0"/>
        <v>Grouping.PalletCode</v>
      </c>
      <c r="D15" s="4"/>
      <c r="E15" s="4" t="s">
        <v>55</v>
      </c>
      <c r="F15" s="1" t="s">
        <v>74</v>
      </c>
      <c r="G15" s="4" t="s">
        <v>76</v>
      </c>
      <c r="I15" s="4" t="s">
        <v>48</v>
      </c>
      <c r="J15" s="1" t="str">
        <f t="shared" si="1"/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74</v>
      </c>
      <c r="W15" s="1" t="s">
        <v>31</v>
      </c>
      <c r="Z15" s="1" t="s">
        <v>67</v>
      </c>
    </row>
    <row r="16" spans="1:26">
      <c r="A16" s="1" t="str">
        <f t="shared" si="0"/>
        <v>PMJ1.HeartBeat</v>
      </c>
      <c r="B16" s="1" t="s">
        <v>182</v>
      </c>
      <c r="F16" s="1" t="s">
        <v>138</v>
      </c>
      <c r="G16" s="1" t="s">
        <v>133</v>
      </c>
      <c r="I16" s="1" t="s">
        <v>149</v>
      </c>
      <c r="J16" s="1" t="str">
        <f t="shared" si="1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2</v>
      </c>
      <c r="P16" s="1" t="s">
        <v>25</v>
      </c>
      <c r="R16" s="1" t="s">
        <v>20</v>
      </c>
      <c r="S16" s="1" t="s">
        <v>21</v>
      </c>
      <c r="U16" s="1" t="s">
        <v>138</v>
      </c>
      <c r="W16" s="1" t="s">
        <v>31</v>
      </c>
    </row>
    <row r="17" spans="1:26">
      <c r="A17" s="1" t="str">
        <f t="shared" si="0"/>
        <v>Bagging.ProcessResult</v>
      </c>
      <c r="C17" s="4"/>
      <c r="E17" s="1" t="s">
        <v>24</v>
      </c>
      <c r="F17" s="4" t="s">
        <v>72</v>
      </c>
      <c r="G17" s="4" t="s">
        <v>51</v>
      </c>
      <c r="I17" s="4" t="s">
        <v>68</v>
      </c>
      <c r="J17" s="1" t="str">
        <f t="shared" si="1"/>
        <v>DB1001.2</v>
      </c>
      <c r="K17" s="1" t="s">
        <v>18</v>
      </c>
      <c r="L17" s="1">
        <v>1001</v>
      </c>
      <c r="M17" s="1">
        <v>2</v>
      </c>
      <c r="O17" s="1">
        <v>2</v>
      </c>
      <c r="P17" s="1" t="s">
        <v>25</v>
      </c>
      <c r="Q17" s="1" t="str">
        <f t="shared" si="2"/>
        <v/>
      </c>
      <c r="R17" s="1" t="s">
        <v>20</v>
      </c>
      <c r="S17" s="1" t="s">
        <v>21</v>
      </c>
      <c r="U17" s="1" t="s">
        <v>72</v>
      </c>
      <c r="W17" s="1" t="s">
        <v>35</v>
      </c>
      <c r="Z17" s="1" t="s">
        <v>33</v>
      </c>
    </row>
    <row r="18" spans="1:26">
      <c r="A18" s="1" t="str">
        <f t="shared" si="0"/>
        <v>Palletizing.ProcessResult</v>
      </c>
      <c r="C18" s="4"/>
      <c r="E18" s="4" t="s">
        <v>54</v>
      </c>
      <c r="F18" s="4" t="s">
        <v>72</v>
      </c>
      <c r="G18" s="4" t="s">
        <v>56</v>
      </c>
      <c r="I18" s="4" t="s">
        <v>68</v>
      </c>
      <c r="J18" s="1" t="str">
        <f t="shared" si="1"/>
        <v>DB1001.4</v>
      </c>
      <c r="K18" s="1" t="s">
        <v>18</v>
      </c>
      <c r="L18" s="1">
        <v>1001</v>
      </c>
      <c r="M18" s="1">
        <v>4</v>
      </c>
      <c r="O18" s="1">
        <v>2</v>
      </c>
      <c r="P18" s="1" t="s">
        <v>25</v>
      </c>
      <c r="Q18" s="1" t="str">
        <f t="shared" si="2"/>
        <v/>
      </c>
      <c r="R18" s="1" t="s">
        <v>20</v>
      </c>
      <c r="S18" s="1" t="s">
        <v>21</v>
      </c>
      <c r="U18" s="1" t="s">
        <v>72</v>
      </c>
      <c r="W18" s="1" t="s">
        <v>35</v>
      </c>
      <c r="Z18" s="1" t="s">
        <v>34</v>
      </c>
    </row>
    <row r="19" spans="1:26">
      <c r="A19" s="1" t="str">
        <f t="shared" si="0"/>
        <v>Palletizing.Position</v>
      </c>
      <c r="C19" s="4"/>
      <c r="E19" s="4" t="s">
        <v>54</v>
      </c>
      <c r="F19" s="4" t="s">
        <v>59</v>
      </c>
      <c r="G19" s="4" t="s">
        <v>58</v>
      </c>
      <c r="I19" s="4" t="s">
        <v>68</v>
      </c>
      <c r="J19" s="1" t="str">
        <f t="shared" si="1"/>
        <v>DB1001.6</v>
      </c>
      <c r="K19" s="1" t="s">
        <v>18</v>
      </c>
      <c r="L19" s="1">
        <v>1001</v>
      </c>
      <c r="M19" s="1">
        <v>6</v>
      </c>
      <c r="O19" s="1">
        <v>2</v>
      </c>
      <c r="P19" s="1" t="s">
        <v>25</v>
      </c>
      <c r="Q19" s="1" t="str">
        <f t="shared" si="2"/>
        <v/>
      </c>
      <c r="R19" s="1" t="s">
        <v>20</v>
      </c>
      <c r="S19" s="1" t="s">
        <v>21</v>
      </c>
      <c r="U19" s="1" t="s">
        <v>59</v>
      </c>
      <c r="W19" s="1" t="s">
        <v>35</v>
      </c>
      <c r="Z19" s="1" t="s">
        <v>34</v>
      </c>
    </row>
    <row r="20" spans="1:26">
      <c r="A20" s="1" t="str">
        <f t="shared" si="0"/>
        <v>Grouping.ProcessResult</v>
      </c>
      <c r="E20" s="4" t="s">
        <v>55</v>
      </c>
      <c r="F20" s="4" t="s">
        <v>72</v>
      </c>
      <c r="G20" s="4" t="s">
        <v>57</v>
      </c>
      <c r="I20" s="4" t="s">
        <v>68</v>
      </c>
      <c r="J20" s="1" t="str">
        <f t="shared" si="1"/>
        <v>DB1001.8</v>
      </c>
      <c r="K20" s="1" t="s">
        <v>18</v>
      </c>
      <c r="L20" s="1">
        <v>1001</v>
      </c>
      <c r="M20" s="1">
        <v>8</v>
      </c>
      <c r="O20" s="1">
        <v>2</v>
      </c>
      <c r="P20" s="1" t="s">
        <v>25</v>
      </c>
      <c r="Q20" s="1" t="str">
        <f t="shared" si="2"/>
        <v/>
      </c>
      <c r="R20" s="1" t="s">
        <v>20</v>
      </c>
      <c r="S20" s="1" t="s">
        <v>21</v>
      </c>
      <c r="U20" s="1" t="s">
        <v>72</v>
      </c>
      <c r="W20" s="1" t="s">
        <v>35</v>
      </c>
      <c r="Z20" s="1" t="s">
        <v>67</v>
      </c>
    </row>
    <row r="21" spans="1:26">
      <c r="A21" s="1" t="str">
        <f t="shared" si="0"/>
        <v>TBJ01.Printing.Content</v>
      </c>
      <c r="D21" s="1" t="s">
        <v>131</v>
      </c>
      <c r="E21" s="1" t="s">
        <v>175</v>
      </c>
      <c r="F21" s="1" t="s">
        <v>176</v>
      </c>
      <c r="G21" s="1" t="s">
        <v>177</v>
      </c>
      <c r="I21" s="1" t="s">
        <v>48</v>
      </c>
      <c r="P21" s="1" t="s">
        <v>183</v>
      </c>
      <c r="Q21" s="1">
        <f t="shared" si="2"/>
        <v>64</v>
      </c>
      <c r="R21" s="1" t="s">
        <v>224</v>
      </c>
      <c r="U21" s="1" t="s">
        <v>176</v>
      </c>
      <c r="W21" s="1" t="s">
        <v>180</v>
      </c>
    </row>
    <row r="22" spans="1:26">
      <c r="A22" s="1" t="str">
        <f t="shared" si="0"/>
        <v>PMJ01.Inkjet.Content</v>
      </c>
      <c r="D22" s="1" t="s">
        <v>178</v>
      </c>
      <c r="E22" s="1" t="s">
        <v>179</v>
      </c>
      <c r="F22" s="1" t="s">
        <v>176</v>
      </c>
      <c r="G22" s="1" t="s">
        <v>177</v>
      </c>
      <c r="I22" s="4" t="s">
        <v>48</v>
      </c>
      <c r="P22" s="1" t="s">
        <v>183</v>
      </c>
      <c r="R22" s="1" t="s">
        <v>181</v>
      </c>
      <c r="U22" s="1" t="s">
        <v>176</v>
      </c>
      <c r="W22" s="1" t="s">
        <v>180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workbookViewId="0">
      <pane xSplit="1" topLeftCell="B1" activePane="topRight" state="frozen"/>
      <selection pane="topRight" activeCell="J2" sqref="J2"/>
    </sheetView>
  </sheetViews>
  <sheetFormatPr defaultColWidth="12.375" defaultRowHeight="14.25"/>
  <cols>
    <col min="1" max="1" width="12.5" style="1" bestFit="1" customWidth="1"/>
    <col min="2" max="2" width="6" style="1" bestFit="1" customWidth="1"/>
    <col min="3" max="3" width="7.25" style="1" bestFit="1" customWidth="1"/>
    <col min="4" max="4" width="7" style="1" bestFit="1" customWidth="1"/>
    <col min="5" max="5" width="9.125" style="1" bestFit="1" customWidth="1"/>
    <col min="6" max="6" width="15" style="1" bestFit="1" customWidth="1"/>
    <col min="7" max="7" width="35.125" style="1" bestFit="1" customWidth="1"/>
    <col min="8" max="8" width="9.5" style="1" bestFit="1" customWidth="1"/>
    <col min="9" max="9" width="8.125" style="1" bestFit="1" customWidth="1"/>
    <col min="10" max="10" width="10.25" style="1" bestFit="1" customWidth="1"/>
    <col min="11" max="16384" width="12.375" style="1"/>
  </cols>
  <sheetData>
    <row r="1" spans="1:10">
      <c r="A1" s="4" t="s">
        <v>73</v>
      </c>
      <c r="B1" s="4" t="s">
        <v>66</v>
      </c>
      <c r="C1" s="1" t="s">
        <v>80</v>
      </c>
      <c r="D1" s="4" t="s">
        <v>63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69</v>
      </c>
    </row>
    <row r="2" spans="1:10">
      <c r="A2" s="1" t="str">
        <f>_xlfn.CONCAT(IF(ISBLANK(B2),"",_xlfn.CONCAT(B2,"_")),D2)</f>
        <v>MDJ1_PLC01</v>
      </c>
      <c r="B2" s="4" t="s">
        <v>62</v>
      </c>
      <c r="C2" s="1" t="s">
        <v>272</v>
      </c>
      <c r="D2" s="1" t="s">
        <v>272</v>
      </c>
      <c r="E2" s="1" t="s">
        <v>277</v>
      </c>
      <c r="F2" s="1" t="s">
        <v>271</v>
      </c>
      <c r="G2" s="1" t="s">
        <v>41</v>
      </c>
      <c r="H2" s="1">
        <v>0</v>
      </c>
      <c r="I2" s="1" t="b">
        <v>1</v>
      </c>
    </row>
    <row r="3" spans="1:10">
      <c r="A3" s="1" t="str">
        <f>_xlfn.CONCAT(IF(ISBLANK(B3),"",_xlfn.CONCAT(B3,"_")),D3)</f>
        <v>MDJ1_BZJ01</v>
      </c>
      <c r="B3" s="4" t="s">
        <v>62</v>
      </c>
      <c r="C3" s="1" t="s">
        <v>151</v>
      </c>
      <c r="D3" s="1" t="s">
        <v>79</v>
      </c>
      <c r="E3" s="1" t="s">
        <v>84</v>
      </c>
      <c r="F3" s="1" t="s">
        <v>78</v>
      </c>
      <c r="G3" s="1" t="s">
        <v>41</v>
      </c>
      <c r="H3" s="1">
        <v>1</v>
      </c>
      <c r="I3" s="1" t="b">
        <v>1</v>
      </c>
    </row>
    <row r="4" spans="1:10">
      <c r="A4" s="1" t="str">
        <f t="shared" ref="A4:A32" si="0">_xlfn.CONCAT(IF(ISBLANK(B4),"",_xlfn.CONCAT(B4,"_")),D4)</f>
        <v>MDJ1_BZJ02</v>
      </c>
      <c r="B4" s="4" t="s">
        <v>62</v>
      </c>
      <c r="C4" s="1" t="s">
        <v>152</v>
      </c>
      <c r="D4" s="1" t="s">
        <v>81</v>
      </c>
      <c r="E4" s="1" t="s">
        <v>85</v>
      </c>
      <c r="F4" s="1" t="s">
        <v>78</v>
      </c>
      <c r="G4" s="1" t="s">
        <v>41</v>
      </c>
      <c r="H4" s="1">
        <v>2</v>
      </c>
      <c r="I4" s="1" t="b">
        <v>1</v>
      </c>
    </row>
    <row r="5" spans="1:10">
      <c r="A5" s="1" t="str">
        <f t="shared" si="0"/>
        <v>MDJ1_BZJ03</v>
      </c>
      <c r="B5" s="4" t="s">
        <v>62</v>
      </c>
      <c r="C5" s="1" t="s">
        <v>153</v>
      </c>
      <c r="D5" s="1" t="s">
        <v>82</v>
      </c>
      <c r="E5" s="1" t="s">
        <v>86</v>
      </c>
      <c r="F5" s="1" t="s">
        <v>78</v>
      </c>
      <c r="G5" s="1" t="s">
        <v>41</v>
      </c>
      <c r="H5" s="1">
        <v>3</v>
      </c>
      <c r="I5" s="1" t="b">
        <v>1</v>
      </c>
    </row>
    <row r="6" spans="1:10">
      <c r="A6" s="1" t="str">
        <f t="shared" si="0"/>
        <v>MDJ1_BZJ04</v>
      </c>
      <c r="B6" s="4" t="s">
        <v>62</v>
      </c>
      <c r="C6" s="1" t="s">
        <v>154</v>
      </c>
      <c r="D6" s="1" t="s">
        <v>83</v>
      </c>
      <c r="E6" s="1" t="s">
        <v>87</v>
      </c>
      <c r="F6" s="1" t="s">
        <v>78</v>
      </c>
      <c r="G6" s="1" t="s">
        <v>41</v>
      </c>
      <c r="H6" s="1">
        <v>4</v>
      </c>
      <c r="I6" s="1" t="b">
        <v>1</v>
      </c>
    </row>
    <row r="7" spans="1:10">
      <c r="A7" s="1" t="str">
        <f t="shared" si="0"/>
        <v>MDJ1_BZJ05</v>
      </c>
      <c r="B7" s="4" t="s">
        <v>62</v>
      </c>
      <c r="C7" s="1" t="s">
        <v>155</v>
      </c>
      <c r="D7" s="1" t="s">
        <v>92</v>
      </c>
      <c r="E7" s="1" t="s">
        <v>88</v>
      </c>
      <c r="F7" s="1" t="s">
        <v>78</v>
      </c>
      <c r="G7" s="1" t="s">
        <v>41</v>
      </c>
      <c r="H7" s="1">
        <v>5</v>
      </c>
      <c r="I7" s="1" t="b">
        <v>1</v>
      </c>
    </row>
    <row r="8" spans="1:10">
      <c r="A8" s="1" t="str">
        <f t="shared" si="0"/>
        <v>MDJ1_BZJ06</v>
      </c>
      <c r="B8" s="4" t="s">
        <v>62</v>
      </c>
      <c r="C8" s="1" t="s">
        <v>156</v>
      </c>
      <c r="D8" s="1" t="s">
        <v>93</v>
      </c>
      <c r="E8" s="1" t="s">
        <v>89</v>
      </c>
      <c r="F8" s="1" t="s">
        <v>78</v>
      </c>
      <c r="G8" s="1" t="s">
        <v>41</v>
      </c>
      <c r="H8" s="1">
        <v>6</v>
      </c>
      <c r="I8" s="1" t="b">
        <v>1</v>
      </c>
    </row>
    <row r="9" spans="1:10">
      <c r="A9" s="1" t="str">
        <f t="shared" si="0"/>
        <v>MDJ1_BZJ07</v>
      </c>
      <c r="B9" s="4" t="s">
        <v>62</v>
      </c>
      <c r="C9" s="1" t="s">
        <v>157</v>
      </c>
      <c r="D9" s="1" t="s">
        <v>94</v>
      </c>
      <c r="E9" s="1" t="s">
        <v>90</v>
      </c>
      <c r="F9" s="1" t="s">
        <v>78</v>
      </c>
      <c r="G9" s="1" t="s">
        <v>41</v>
      </c>
      <c r="H9" s="1">
        <v>7</v>
      </c>
      <c r="I9" s="1" t="b">
        <v>1</v>
      </c>
    </row>
    <row r="10" spans="1:10">
      <c r="A10" s="1" t="str">
        <f t="shared" si="0"/>
        <v>MDJ1_BZJ08</v>
      </c>
      <c r="B10" s="4" t="s">
        <v>62</v>
      </c>
      <c r="C10" s="1" t="s">
        <v>158</v>
      </c>
      <c r="D10" s="1" t="s">
        <v>95</v>
      </c>
      <c r="E10" s="1" t="s">
        <v>91</v>
      </c>
      <c r="F10" s="1" t="s">
        <v>78</v>
      </c>
      <c r="G10" s="1" t="s">
        <v>41</v>
      </c>
      <c r="H10" s="1">
        <v>8</v>
      </c>
      <c r="I10" s="1" t="b">
        <v>1</v>
      </c>
    </row>
    <row r="11" spans="1:10">
      <c r="A11" s="1" t="str">
        <f t="shared" si="0"/>
        <v>MDJ1_CZJ01</v>
      </c>
      <c r="B11" s="4" t="s">
        <v>62</v>
      </c>
      <c r="C11" s="1" t="s">
        <v>159</v>
      </c>
      <c r="D11" s="1" t="s">
        <v>124</v>
      </c>
      <c r="E11" s="1" t="s">
        <v>123</v>
      </c>
      <c r="F11" s="6" t="s">
        <v>185</v>
      </c>
      <c r="G11" s="1" t="s">
        <v>41</v>
      </c>
      <c r="H11" s="1">
        <v>9</v>
      </c>
      <c r="I11" s="1" t="b">
        <v>1</v>
      </c>
    </row>
    <row r="12" spans="1:10">
      <c r="A12" s="1" t="str">
        <f t="shared" si="0"/>
        <v>MDJ1_MDJ01</v>
      </c>
      <c r="B12" s="4" t="s">
        <v>62</v>
      </c>
      <c r="C12" s="4" t="s">
        <v>160</v>
      </c>
      <c r="D12" s="4" t="s">
        <v>64</v>
      </c>
      <c r="E12" s="1" t="s">
        <v>112</v>
      </c>
      <c r="F12" s="1" t="s">
        <v>61</v>
      </c>
      <c r="G12" s="1" t="s">
        <v>41</v>
      </c>
      <c r="H12" s="1">
        <v>10</v>
      </c>
      <c r="I12" s="1" t="b">
        <v>1</v>
      </c>
    </row>
    <row r="13" spans="1:10">
      <c r="A13" s="1" t="str">
        <f t="shared" si="0"/>
        <v>MDJ1_MDJ02</v>
      </c>
      <c r="B13" s="4" t="s">
        <v>62</v>
      </c>
      <c r="C13" s="4" t="s">
        <v>161</v>
      </c>
      <c r="D13" s="4" t="s">
        <v>113</v>
      </c>
      <c r="E13" s="1" t="s">
        <v>118</v>
      </c>
      <c r="F13" s="4" t="s">
        <v>61</v>
      </c>
      <c r="G13" s="1" t="s">
        <v>41</v>
      </c>
      <c r="H13" s="1">
        <v>11</v>
      </c>
      <c r="I13" s="1" t="b">
        <v>1</v>
      </c>
    </row>
    <row r="14" spans="1:10">
      <c r="A14" s="1" t="str">
        <f t="shared" si="0"/>
        <v>MDJ1_MDJ03</v>
      </c>
      <c r="B14" s="4" t="s">
        <v>62</v>
      </c>
      <c r="C14" s="4" t="s">
        <v>162</v>
      </c>
      <c r="D14" s="4" t="s">
        <v>114</v>
      </c>
      <c r="E14" s="1" t="s">
        <v>119</v>
      </c>
      <c r="F14" s="4" t="s">
        <v>61</v>
      </c>
      <c r="G14" s="1" t="s">
        <v>41</v>
      </c>
      <c r="H14" s="1">
        <v>12</v>
      </c>
      <c r="I14" s="1" t="b">
        <v>1</v>
      </c>
    </row>
    <row r="15" spans="1:10">
      <c r="A15" s="1" t="str">
        <f t="shared" si="0"/>
        <v>MDJ1_CDJ01</v>
      </c>
      <c r="B15" s="4" t="s">
        <v>62</v>
      </c>
      <c r="C15" s="1" t="s">
        <v>170</v>
      </c>
      <c r="D15" s="1" t="s">
        <v>65</v>
      </c>
      <c r="E15" s="1" t="s">
        <v>171</v>
      </c>
      <c r="F15" s="1" t="s">
        <v>75</v>
      </c>
      <c r="G15" s="1" t="s">
        <v>41</v>
      </c>
      <c r="H15" s="1">
        <v>13</v>
      </c>
      <c r="I15" s="1" t="b">
        <v>1</v>
      </c>
    </row>
    <row r="16" spans="1:10">
      <c r="A16" s="1" t="str">
        <f t="shared" ref="A16" si="1">_xlfn.CONCAT(IF(ISBLANK(B16),"",_xlfn.CONCAT(B16,"_")),D16)</f>
        <v>MDJ1_FMJ01</v>
      </c>
      <c r="B16" s="4" t="s">
        <v>62</v>
      </c>
      <c r="C16" s="1" t="s">
        <v>163</v>
      </c>
      <c r="D16" s="1" t="s">
        <v>139</v>
      </c>
      <c r="E16" s="1" t="s">
        <v>140</v>
      </c>
      <c r="F16" s="6" t="s">
        <v>141</v>
      </c>
      <c r="G16" s="1" t="s">
        <v>41</v>
      </c>
      <c r="H16" s="1">
        <v>14</v>
      </c>
      <c r="I16" s="1" t="b">
        <v>1</v>
      </c>
    </row>
    <row r="17" spans="1:9">
      <c r="A17" s="1" t="str">
        <f t="shared" si="0"/>
        <v>MDJ1_TBJ01</v>
      </c>
      <c r="B17" s="4" t="s">
        <v>62</v>
      </c>
      <c r="C17" s="1" t="s">
        <v>164</v>
      </c>
      <c r="D17" s="1" t="s">
        <v>131</v>
      </c>
      <c r="E17" s="1" t="s">
        <v>129</v>
      </c>
      <c r="F17" s="6" t="s">
        <v>128</v>
      </c>
      <c r="G17" s="1" t="s">
        <v>41</v>
      </c>
      <c r="H17" s="1">
        <v>15</v>
      </c>
      <c r="I17" s="1" t="b">
        <v>1</v>
      </c>
    </row>
    <row r="18" spans="1:9">
      <c r="A18" s="1" t="str">
        <f t="shared" si="0"/>
        <v>MDJ2_BZJ09</v>
      </c>
      <c r="B18" s="1" t="s">
        <v>77</v>
      </c>
      <c r="C18" s="1" t="s">
        <v>150</v>
      </c>
      <c r="D18" s="1" t="s">
        <v>96</v>
      </c>
      <c r="E18" s="1" t="s">
        <v>104</v>
      </c>
      <c r="F18" s="1" t="s">
        <v>78</v>
      </c>
      <c r="G18" s="1" t="s">
        <v>41</v>
      </c>
      <c r="H18" s="1">
        <v>1</v>
      </c>
      <c r="I18" s="1" t="b">
        <v>1</v>
      </c>
    </row>
    <row r="19" spans="1:9">
      <c r="A19" s="1" t="str">
        <f t="shared" si="0"/>
        <v>MDJ2_BZJ10</v>
      </c>
      <c r="B19" s="1" t="s">
        <v>77</v>
      </c>
      <c r="C19" s="1" t="s">
        <v>152</v>
      </c>
      <c r="D19" s="1" t="s">
        <v>97</v>
      </c>
      <c r="E19" s="1" t="s">
        <v>105</v>
      </c>
      <c r="F19" s="1" t="s">
        <v>78</v>
      </c>
      <c r="G19" s="1" t="s">
        <v>41</v>
      </c>
      <c r="H19" s="1">
        <v>2</v>
      </c>
      <c r="I19" s="1" t="b">
        <v>1</v>
      </c>
    </row>
    <row r="20" spans="1:9">
      <c r="A20" s="1" t="str">
        <f t="shared" si="0"/>
        <v>MDJ2_BZJ11</v>
      </c>
      <c r="B20" s="1" t="s">
        <v>77</v>
      </c>
      <c r="C20" s="1" t="s">
        <v>153</v>
      </c>
      <c r="D20" s="1" t="s">
        <v>98</v>
      </c>
      <c r="E20" s="1" t="s">
        <v>106</v>
      </c>
      <c r="F20" s="1" t="s">
        <v>78</v>
      </c>
      <c r="G20" s="1" t="s">
        <v>41</v>
      </c>
      <c r="H20" s="1">
        <v>3</v>
      </c>
      <c r="I20" s="1" t="b">
        <v>1</v>
      </c>
    </row>
    <row r="21" spans="1:9">
      <c r="A21" s="1" t="str">
        <f t="shared" si="0"/>
        <v>MDJ2_BZJ12</v>
      </c>
      <c r="B21" s="1" t="s">
        <v>77</v>
      </c>
      <c r="C21" s="1" t="s">
        <v>154</v>
      </c>
      <c r="D21" s="1" t="s">
        <v>99</v>
      </c>
      <c r="E21" s="1" t="s">
        <v>107</v>
      </c>
      <c r="F21" s="1" t="s">
        <v>78</v>
      </c>
      <c r="G21" s="1" t="s">
        <v>41</v>
      </c>
      <c r="H21" s="1">
        <v>4</v>
      </c>
      <c r="I21" s="1" t="b">
        <v>1</v>
      </c>
    </row>
    <row r="22" spans="1:9">
      <c r="A22" s="1" t="str">
        <f t="shared" si="0"/>
        <v>MDJ2_BZJ13</v>
      </c>
      <c r="B22" s="1" t="s">
        <v>77</v>
      </c>
      <c r="C22" s="1" t="s">
        <v>155</v>
      </c>
      <c r="D22" s="1" t="s">
        <v>100</v>
      </c>
      <c r="E22" s="1" t="s">
        <v>108</v>
      </c>
      <c r="F22" s="1" t="s">
        <v>78</v>
      </c>
      <c r="G22" s="1" t="s">
        <v>41</v>
      </c>
      <c r="H22" s="1">
        <v>5</v>
      </c>
      <c r="I22" s="1" t="b">
        <v>1</v>
      </c>
    </row>
    <row r="23" spans="1:9">
      <c r="A23" s="1" t="str">
        <f t="shared" si="0"/>
        <v>MDJ2_BZJ14</v>
      </c>
      <c r="B23" s="1" t="s">
        <v>77</v>
      </c>
      <c r="C23" s="1" t="s">
        <v>156</v>
      </c>
      <c r="D23" s="1" t="s">
        <v>101</v>
      </c>
      <c r="E23" s="1" t="s">
        <v>109</v>
      </c>
      <c r="F23" s="1" t="s">
        <v>78</v>
      </c>
      <c r="G23" s="1" t="s">
        <v>41</v>
      </c>
      <c r="H23" s="1">
        <v>6</v>
      </c>
      <c r="I23" s="1" t="b">
        <v>1</v>
      </c>
    </row>
    <row r="24" spans="1:9">
      <c r="A24" s="1" t="str">
        <f t="shared" si="0"/>
        <v>MDJ2_BZJ15</v>
      </c>
      <c r="B24" s="1" t="s">
        <v>77</v>
      </c>
      <c r="C24" s="1" t="s">
        <v>157</v>
      </c>
      <c r="D24" s="1" t="s">
        <v>102</v>
      </c>
      <c r="E24" s="1" t="s">
        <v>110</v>
      </c>
      <c r="F24" s="1" t="s">
        <v>78</v>
      </c>
      <c r="G24" s="1" t="s">
        <v>41</v>
      </c>
      <c r="H24" s="1">
        <v>7</v>
      </c>
      <c r="I24" s="1" t="b">
        <v>1</v>
      </c>
    </row>
    <row r="25" spans="1:9">
      <c r="A25" s="1" t="str">
        <f t="shared" si="0"/>
        <v>MDJ2_BZJ16</v>
      </c>
      <c r="B25" s="1" t="s">
        <v>77</v>
      </c>
      <c r="C25" s="1" t="s">
        <v>158</v>
      </c>
      <c r="D25" s="1" t="s">
        <v>103</v>
      </c>
      <c r="E25" s="1" t="s">
        <v>111</v>
      </c>
      <c r="F25" s="1" t="s">
        <v>78</v>
      </c>
      <c r="G25" s="1" t="s">
        <v>41</v>
      </c>
      <c r="H25" s="1">
        <v>8</v>
      </c>
      <c r="I25" s="1" t="b">
        <v>1</v>
      </c>
    </row>
    <row r="26" spans="1:9">
      <c r="A26" s="1" t="str">
        <f t="shared" si="0"/>
        <v>MDJ2_CZJ02</v>
      </c>
      <c r="B26" s="1" t="s">
        <v>77</v>
      </c>
      <c r="C26" s="1" t="s">
        <v>165</v>
      </c>
      <c r="D26" s="1" t="s">
        <v>125</v>
      </c>
      <c r="E26" s="1" t="s">
        <v>126</v>
      </c>
      <c r="F26" s="6" t="s">
        <v>127</v>
      </c>
      <c r="G26" s="1" t="s">
        <v>41</v>
      </c>
      <c r="H26" s="1">
        <v>9</v>
      </c>
      <c r="I26" s="1" t="b">
        <v>1</v>
      </c>
    </row>
    <row r="27" spans="1:9">
      <c r="A27" s="1" t="str">
        <f t="shared" si="0"/>
        <v>MDJ2_MDJ04</v>
      </c>
      <c r="B27" s="1" t="s">
        <v>77</v>
      </c>
      <c r="C27" s="4" t="s">
        <v>166</v>
      </c>
      <c r="D27" s="4" t="s">
        <v>115</v>
      </c>
      <c r="E27" s="1" t="s">
        <v>120</v>
      </c>
      <c r="F27" s="4" t="s">
        <v>61</v>
      </c>
      <c r="G27" s="1" t="s">
        <v>41</v>
      </c>
      <c r="H27" s="1">
        <v>10</v>
      </c>
      <c r="I27" s="1" t="b">
        <v>1</v>
      </c>
    </row>
    <row r="28" spans="1:9">
      <c r="A28" s="1" t="str">
        <f t="shared" si="0"/>
        <v>MDJ2_MDJ05</v>
      </c>
      <c r="B28" s="1" t="s">
        <v>77</v>
      </c>
      <c r="C28" s="4" t="s">
        <v>167</v>
      </c>
      <c r="D28" s="4" t="s">
        <v>116</v>
      </c>
      <c r="E28" s="1" t="s">
        <v>121</v>
      </c>
      <c r="F28" s="4" t="s">
        <v>61</v>
      </c>
      <c r="G28" s="1" t="s">
        <v>41</v>
      </c>
      <c r="H28" s="1">
        <v>11</v>
      </c>
      <c r="I28" s="1" t="b">
        <v>1</v>
      </c>
    </row>
    <row r="29" spans="1:9">
      <c r="A29" s="1" t="str">
        <f t="shared" si="0"/>
        <v>MDJ2_MDJ06</v>
      </c>
      <c r="B29" s="1" t="s">
        <v>77</v>
      </c>
      <c r="C29" s="4" t="s">
        <v>168</v>
      </c>
      <c r="D29" s="4" t="s">
        <v>117</v>
      </c>
      <c r="E29" s="1" t="s">
        <v>122</v>
      </c>
      <c r="F29" s="4" t="s">
        <v>61</v>
      </c>
      <c r="G29" s="1" t="s">
        <v>41</v>
      </c>
      <c r="H29" s="1">
        <v>12</v>
      </c>
      <c r="I29" s="1" t="b">
        <v>1</v>
      </c>
    </row>
    <row r="30" spans="1:9">
      <c r="A30" s="1" t="str">
        <f t="shared" ref="A30" si="2">_xlfn.CONCAT(IF(ISBLANK(B30),"",_xlfn.CONCAT(B30,"_")),D30)</f>
        <v>MDJ2_CDJ02</v>
      </c>
      <c r="B30" s="1" t="s">
        <v>77</v>
      </c>
      <c r="C30" s="1" t="s">
        <v>172</v>
      </c>
      <c r="D30" s="1" t="s">
        <v>173</v>
      </c>
      <c r="E30" s="1" t="s">
        <v>174</v>
      </c>
      <c r="F30" s="1" t="s">
        <v>75</v>
      </c>
      <c r="G30" s="1" t="s">
        <v>41</v>
      </c>
      <c r="H30" s="1">
        <v>13</v>
      </c>
      <c r="I30" s="1" t="b">
        <v>1</v>
      </c>
    </row>
    <row r="31" spans="1:9">
      <c r="A31" s="1" t="str">
        <f t="shared" si="0"/>
        <v>MDJ2_FMJ02</v>
      </c>
      <c r="B31" s="1" t="s">
        <v>77</v>
      </c>
      <c r="C31" s="1" t="s">
        <v>169</v>
      </c>
      <c r="D31" s="1" t="s">
        <v>142</v>
      </c>
      <c r="E31" s="1" t="s">
        <v>143</v>
      </c>
      <c r="F31" s="6" t="s">
        <v>141</v>
      </c>
      <c r="G31" s="1" t="s">
        <v>41</v>
      </c>
      <c r="H31" s="1">
        <v>13</v>
      </c>
      <c r="I31" s="1" t="b">
        <v>1</v>
      </c>
    </row>
    <row r="32" spans="1:9">
      <c r="A32" s="1" t="str">
        <f t="shared" si="0"/>
        <v>MDJ2_TBJ02</v>
      </c>
      <c r="B32" s="1" t="s">
        <v>77</v>
      </c>
      <c r="C32" s="4" t="s">
        <v>168</v>
      </c>
      <c r="D32" s="1" t="s">
        <v>132</v>
      </c>
      <c r="E32" s="1" t="s">
        <v>130</v>
      </c>
      <c r="F32" s="6" t="s">
        <v>128</v>
      </c>
      <c r="G32" s="1" t="s">
        <v>41</v>
      </c>
      <c r="H32" s="1">
        <v>14</v>
      </c>
      <c r="I32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I34"/>
  <sheetViews>
    <sheetView workbookViewId="0">
      <pane xSplit="1" topLeftCell="B1" activePane="topRight" state="frozen"/>
      <selection pane="topRight" activeCell="I2" sqref="I2"/>
    </sheetView>
  </sheetViews>
  <sheetFormatPr defaultColWidth="12.375" defaultRowHeight="14.25"/>
  <cols>
    <col min="1" max="1" width="11.75" style="1" bestFit="1" customWidth="1"/>
    <col min="2" max="2" width="9.125" style="1" bestFit="1" customWidth="1"/>
    <col min="3" max="3" width="7.25" style="1" bestFit="1" customWidth="1"/>
    <col min="4" max="4" width="11.125" style="1" bestFit="1" customWidth="1"/>
    <col min="5" max="5" width="15" style="1" bestFit="1" customWidth="1"/>
    <col min="6" max="6" width="9.5" style="1" bestFit="1" customWidth="1"/>
    <col min="7" max="7" width="8.125" style="1" bestFit="1" customWidth="1"/>
    <col min="8" max="8" width="10.25" style="1" bestFit="1" customWidth="1"/>
    <col min="9" max="9" width="16.625" style="1" bestFit="1" customWidth="1"/>
    <col min="10" max="16384" width="12.375" style="1"/>
  </cols>
  <sheetData>
    <row r="1" spans="1:9">
      <c r="A1" s="4" t="s">
        <v>73</v>
      </c>
      <c r="B1" s="1" t="s">
        <v>233</v>
      </c>
      <c r="C1" s="1" t="s">
        <v>80</v>
      </c>
      <c r="D1" s="1" t="s">
        <v>36</v>
      </c>
      <c r="E1" s="1" t="s">
        <v>37</v>
      </c>
      <c r="F1" s="1" t="s">
        <v>39</v>
      </c>
      <c r="G1" s="1" t="s">
        <v>40</v>
      </c>
      <c r="H1" s="1" t="s">
        <v>69</v>
      </c>
      <c r="I1" s="1" t="s">
        <v>234</v>
      </c>
    </row>
    <row r="2" spans="1:9">
      <c r="A2" s="1" t="str">
        <f>_xlfn.CONCAT(IF(ISBLANK(B2),"",_xlfn.CONCAT(B2,"_")),IF(ISBLANK(C2),"",C2))</f>
        <v>MDJ1_PLC01</v>
      </c>
      <c r="B2" s="1" t="s">
        <v>62</v>
      </c>
      <c r="C2" s="1" t="s">
        <v>272</v>
      </c>
      <c r="D2" s="1" t="s">
        <v>270</v>
      </c>
      <c r="E2" s="1" t="s">
        <v>271</v>
      </c>
      <c r="F2" s="1">
        <v>0</v>
      </c>
      <c r="G2" s="1" t="b">
        <v>1</v>
      </c>
      <c r="I2" s="1" t="s">
        <v>273</v>
      </c>
    </row>
    <row r="3" spans="1:9">
      <c r="A3" s="1" t="str">
        <f>_xlfn.CONCAT(IF(ISBLANK(B3),"",_xlfn.CONCAT(B3,"_")),IF(ISBLANK(C3),"",C3))</f>
        <v>MDJ1_BZ01</v>
      </c>
      <c r="B3" s="1" t="s">
        <v>62</v>
      </c>
      <c r="C3" s="1" t="s">
        <v>151</v>
      </c>
      <c r="D3" s="1" t="s">
        <v>186</v>
      </c>
      <c r="E3" s="1" t="s">
        <v>78</v>
      </c>
      <c r="F3" s="1">
        <v>1</v>
      </c>
      <c r="G3" s="1" t="b">
        <v>1</v>
      </c>
      <c r="I3" s="1" t="s">
        <v>232</v>
      </c>
    </row>
    <row r="4" spans="1:9">
      <c r="A4" s="1" t="str">
        <f t="shared" ref="A4:A34" si="0">_xlfn.CONCAT(IF(ISBLANK(B4),"",_xlfn.CONCAT(B4,"_")),IF(ISBLANK(C4),"",C4))</f>
        <v>MDJ1_BZ02</v>
      </c>
      <c r="B4" s="4" t="s">
        <v>62</v>
      </c>
      <c r="C4" s="1" t="s">
        <v>152</v>
      </c>
      <c r="D4" s="1" t="s">
        <v>187</v>
      </c>
      <c r="E4" s="1" t="s">
        <v>78</v>
      </c>
      <c r="F4" s="1">
        <v>2</v>
      </c>
      <c r="G4" s="1" t="b">
        <v>1</v>
      </c>
      <c r="I4" s="1" t="s">
        <v>235</v>
      </c>
    </row>
    <row r="5" spans="1:9">
      <c r="A5" s="1" t="str">
        <f t="shared" si="0"/>
        <v>MDJ1_BZ03</v>
      </c>
      <c r="B5" s="4" t="s">
        <v>62</v>
      </c>
      <c r="C5" s="1" t="s">
        <v>153</v>
      </c>
      <c r="D5" s="1" t="s">
        <v>188</v>
      </c>
      <c r="E5" s="1" t="s">
        <v>78</v>
      </c>
      <c r="F5" s="1">
        <v>3</v>
      </c>
      <c r="G5" s="1" t="b">
        <v>1</v>
      </c>
      <c r="I5" s="1" t="s">
        <v>236</v>
      </c>
    </row>
    <row r="6" spans="1:9">
      <c r="A6" s="1" t="str">
        <f t="shared" si="0"/>
        <v>MDJ1_BZ04</v>
      </c>
      <c r="B6" s="4" t="s">
        <v>62</v>
      </c>
      <c r="C6" s="1" t="s">
        <v>154</v>
      </c>
      <c r="D6" s="1" t="s">
        <v>189</v>
      </c>
      <c r="E6" s="1" t="s">
        <v>78</v>
      </c>
      <c r="F6" s="1">
        <v>4</v>
      </c>
      <c r="G6" s="1" t="b">
        <v>1</v>
      </c>
      <c r="I6" s="1" t="s">
        <v>237</v>
      </c>
    </row>
    <row r="7" spans="1:9">
      <c r="A7" s="1" t="str">
        <f t="shared" si="0"/>
        <v>MDJ1_BZ05</v>
      </c>
      <c r="B7" s="4" t="s">
        <v>62</v>
      </c>
      <c r="C7" s="1" t="s">
        <v>155</v>
      </c>
      <c r="D7" s="1" t="s">
        <v>190</v>
      </c>
      <c r="E7" s="1" t="s">
        <v>78</v>
      </c>
      <c r="F7" s="1">
        <v>5</v>
      </c>
      <c r="G7" s="1" t="b">
        <v>1</v>
      </c>
      <c r="I7" s="1" t="s">
        <v>238</v>
      </c>
    </row>
    <row r="8" spans="1:9">
      <c r="A8" s="1" t="str">
        <f t="shared" si="0"/>
        <v>MDJ1_BZ06</v>
      </c>
      <c r="B8" s="4" t="s">
        <v>62</v>
      </c>
      <c r="C8" s="1" t="s">
        <v>156</v>
      </c>
      <c r="D8" s="1" t="s">
        <v>191</v>
      </c>
      <c r="E8" s="1" t="s">
        <v>78</v>
      </c>
      <c r="F8" s="1">
        <v>6</v>
      </c>
      <c r="G8" s="1" t="b">
        <v>1</v>
      </c>
      <c r="I8" s="1" t="s">
        <v>239</v>
      </c>
    </row>
    <row r="9" spans="1:9">
      <c r="A9" s="1" t="str">
        <f t="shared" si="0"/>
        <v>MDJ1_BZ07</v>
      </c>
      <c r="B9" s="4" t="s">
        <v>62</v>
      </c>
      <c r="C9" s="1" t="s">
        <v>157</v>
      </c>
      <c r="D9" s="1" t="s">
        <v>192</v>
      </c>
      <c r="E9" s="1" t="s">
        <v>78</v>
      </c>
      <c r="F9" s="1">
        <v>7</v>
      </c>
      <c r="G9" s="1" t="b">
        <v>1</v>
      </c>
      <c r="I9" s="1" t="s">
        <v>240</v>
      </c>
    </row>
    <row r="10" spans="1:9">
      <c r="A10" s="1" t="str">
        <f t="shared" si="0"/>
        <v>MDJ1_BZ08</v>
      </c>
      <c r="B10" s="4" t="s">
        <v>62</v>
      </c>
      <c r="C10" s="1" t="s">
        <v>158</v>
      </c>
      <c r="D10" s="1" t="s">
        <v>193</v>
      </c>
      <c r="E10" s="1" t="s">
        <v>78</v>
      </c>
      <c r="F10" s="1">
        <v>8</v>
      </c>
      <c r="G10" s="1" t="b">
        <v>1</v>
      </c>
      <c r="I10" s="1" t="s">
        <v>241</v>
      </c>
    </row>
    <row r="11" spans="1:9">
      <c r="A11" s="1" t="str">
        <f t="shared" si="0"/>
        <v>MDJ1_CZ01</v>
      </c>
      <c r="B11" s="4" t="s">
        <v>62</v>
      </c>
      <c r="C11" s="1" t="s">
        <v>159</v>
      </c>
      <c r="D11" s="1" t="s">
        <v>194</v>
      </c>
      <c r="E11" s="6" t="s">
        <v>185</v>
      </c>
      <c r="F11" s="1">
        <v>9</v>
      </c>
      <c r="G11" s="1" t="b">
        <v>1</v>
      </c>
      <c r="I11" s="1" t="s">
        <v>242</v>
      </c>
    </row>
    <row r="12" spans="1:9">
      <c r="A12" s="1" t="str">
        <f t="shared" ref="A12" si="1">_xlfn.CONCAT(IF(ISBLANK(B12),"",_xlfn.CONCAT(B12,"_")),IF(ISBLANK(C12),"",C12))</f>
        <v>MDJ1_PM01</v>
      </c>
      <c r="B12" s="4" t="s">
        <v>62</v>
      </c>
      <c r="C12" s="1" t="s">
        <v>217</v>
      </c>
      <c r="D12" s="1" t="s">
        <v>195</v>
      </c>
      <c r="E12" s="1" t="s">
        <v>179</v>
      </c>
      <c r="F12" s="1">
        <v>10</v>
      </c>
      <c r="G12" s="1" t="b">
        <v>1</v>
      </c>
      <c r="I12" s="1" t="s">
        <v>34</v>
      </c>
    </row>
    <row r="13" spans="1:9">
      <c r="A13" s="1" t="str">
        <f t="shared" si="0"/>
        <v>MDJ1_MD01</v>
      </c>
      <c r="B13" s="4" t="s">
        <v>62</v>
      </c>
      <c r="C13" s="4" t="s">
        <v>160</v>
      </c>
      <c r="D13" s="1" t="s">
        <v>218</v>
      </c>
      <c r="E13" s="1" t="s">
        <v>61</v>
      </c>
      <c r="F13" s="1">
        <v>11</v>
      </c>
      <c r="G13" s="1" t="b">
        <v>1</v>
      </c>
      <c r="I13" s="1" t="s">
        <v>243</v>
      </c>
    </row>
    <row r="14" spans="1:9">
      <c r="A14" s="1" t="str">
        <f t="shared" si="0"/>
        <v>MDJ1_MD02</v>
      </c>
      <c r="B14" s="4" t="s">
        <v>62</v>
      </c>
      <c r="C14" s="4" t="s">
        <v>161</v>
      </c>
      <c r="D14" s="1" t="s">
        <v>196</v>
      </c>
      <c r="E14" s="4" t="s">
        <v>61</v>
      </c>
      <c r="F14" s="1">
        <v>12</v>
      </c>
      <c r="G14" s="1" t="b">
        <v>1</v>
      </c>
      <c r="I14" s="1" t="s">
        <v>244</v>
      </c>
    </row>
    <row r="15" spans="1:9">
      <c r="A15" s="1" t="str">
        <f t="shared" si="0"/>
        <v>MDJ1_MD03</v>
      </c>
      <c r="B15" s="4" t="s">
        <v>62</v>
      </c>
      <c r="C15" s="4" t="s">
        <v>162</v>
      </c>
      <c r="D15" s="1" t="s">
        <v>197</v>
      </c>
      <c r="E15" s="4" t="s">
        <v>61</v>
      </c>
      <c r="F15" s="1">
        <v>13</v>
      </c>
      <c r="G15" s="1" t="b">
        <v>1</v>
      </c>
      <c r="I15" s="1" t="s">
        <v>67</v>
      </c>
    </row>
    <row r="16" spans="1:9">
      <c r="A16" s="1" t="str">
        <f t="shared" si="0"/>
        <v>MDJ1_CD01</v>
      </c>
      <c r="B16" s="4" t="s">
        <v>62</v>
      </c>
      <c r="C16" s="1" t="s">
        <v>170</v>
      </c>
      <c r="D16" s="1" t="s">
        <v>198</v>
      </c>
      <c r="E16" s="1" t="s">
        <v>75</v>
      </c>
      <c r="F16" s="1">
        <v>14</v>
      </c>
      <c r="G16" s="1" t="b">
        <v>1</v>
      </c>
      <c r="I16" s="1" t="s">
        <v>245</v>
      </c>
    </row>
    <row r="17" spans="1:9">
      <c r="A17" s="1" t="str">
        <f t="shared" si="0"/>
        <v>MDJ1_FM01</v>
      </c>
      <c r="B17" s="4" t="s">
        <v>62</v>
      </c>
      <c r="C17" s="1" t="s">
        <v>163</v>
      </c>
      <c r="D17" s="1" t="s">
        <v>199</v>
      </c>
      <c r="E17" s="6" t="s">
        <v>141</v>
      </c>
      <c r="F17" s="1">
        <v>15</v>
      </c>
      <c r="G17" s="1" t="b">
        <v>1</v>
      </c>
      <c r="I17" s="1" t="s">
        <v>246</v>
      </c>
    </row>
    <row r="18" spans="1:9">
      <c r="A18" s="1" t="str">
        <f t="shared" si="0"/>
        <v>MDJ1_TB01</v>
      </c>
      <c r="B18" s="4" t="s">
        <v>62</v>
      </c>
      <c r="C18" s="1" t="s">
        <v>164</v>
      </c>
      <c r="D18" s="1" t="s">
        <v>200</v>
      </c>
      <c r="E18" s="6" t="s">
        <v>128</v>
      </c>
      <c r="F18" s="1">
        <v>16</v>
      </c>
      <c r="G18" s="1" t="b">
        <v>1</v>
      </c>
      <c r="I18" s="1" t="s">
        <v>247</v>
      </c>
    </row>
    <row r="19" spans="1:9">
      <c r="A19" s="1" t="str">
        <f t="shared" si="0"/>
        <v>MDJ2_BZ01</v>
      </c>
      <c r="B19" s="1" t="s">
        <v>77</v>
      </c>
      <c r="C19" s="1" t="s">
        <v>150</v>
      </c>
      <c r="D19" s="1" t="s">
        <v>201</v>
      </c>
      <c r="E19" s="1" t="s">
        <v>78</v>
      </c>
      <c r="F19" s="1">
        <v>1</v>
      </c>
      <c r="G19" s="1" t="b">
        <v>1</v>
      </c>
      <c r="I19" s="1" t="s">
        <v>248</v>
      </c>
    </row>
    <row r="20" spans="1:9">
      <c r="A20" s="1" t="str">
        <f t="shared" si="0"/>
        <v>MDJ2_BZ02</v>
      </c>
      <c r="B20" s="1" t="s">
        <v>77</v>
      </c>
      <c r="C20" s="1" t="s">
        <v>152</v>
      </c>
      <c r="D20" s="1" t="s">
        <v>202</v>
      </c>
      <c r="E20" s="1" t="s">
        <v>78</v>
      </c>
      <c r="F20" s="1">
        <v>2</v>
      </c>
      <c r="G20" s="1" t="b">
        <v>1</v>
      </c>
      <c r="I20" s="1" t="s">
        <v>249</v>
      </c>
    </row>
    <row r="21" spans="1:9">
      <c r="A21" s="1" t="str">
        <f t="shared" si="0"/>
        <v>MDJ2_BZ03</v>
      </c>
      <c r="B21" s="1" t="s">
        <v>77</v>
      </c>
      <c r="C21" s="1" t="s">
        <v>153</v>
      </c>
      <c r="D21" s="1" t="s">
        <v>203</v>
      </c>
      <c r="E21" s="1" t="s">
        <v>78</v>
      </c>
      <c r="F21" s="1">
        <v>3</v>
      </c>
      <c r="G21" s="1" t="b">
        <v>1</v>
      </c>
      <c r="I21" s="1" t="s">
        <v>250</v>
      </c>
    </row>
    <row r="22" spans="1:9">
      <c r="A22" s="1" t="str">
        <f t="shared" si="0"/>
        <v>MDJ2_BZ04</v>
      </c>
      <c r="B22" s="1" t="s">
        <v>77</v>
      </c>
      <c r="C22" s="1" t="s">
        <v>154</v>
      </c>
      <c r="D22" s="1" t="s">
        <v>204</v>
      </c>
      <c r="E22" s="1" t="s">
        <v>78</v>
      </c>
      <c r="F22" s="1">
        <v>4</v>
      </c>
      <c r="G22" s="1" t="b">
        <v>1</v>
      </c>
      <c r="I22" s="1" t="s">
        <v>251</v>
      </c>
    </row>
    <row r="23" spans="1:9">
      <c r="A23" s="1" t="str">
        <f t="shared" si="0"/>
        <v>MDJ2_BZ05</v>
      </c>
      <c r="B23" s="1" t="s">
        <v>77</v>
      </c>
      <c r="C23" s="1" t="s">
        <v>155</v>
      </c>
      <c r="D23" s="1" t="s">
        <v>205</v>
      </c>
      <c r="E23" s="1" t="s">
        <v>78</v>
      </c>
      <c r="F23" s="1">
        <v>5</v>
      </c>
      <c r="G23" s="1" t="b">
        <v>1</v>
      </c>
      <c r="I23" s="1" t="s">
        <v>252</v>
      </c>
    </row>
    <row r="24" spans="1:9">
      <c r="A24" s="1" t="str">
        <f t="shared" si="0"/>
        <v>MDJ2_BZ06</v>
      </c>
      <c r="B24" s="1" t="s">
        <v>77</v>
      </c>
      <c r="C24" s="1" t="s">
        <v>156</v>
      </c>
      <c r="D24" s="1" t="s">
        <v>206</v>
      </c>
      <c r="E24" s="1" t="s">
        <v>78</v>
      </c>
      <c r="F24" s="1">
        <v>6</v>
      </c>
      <c r="G24" s="1" t="b">
        <v>1</v>
      </c>
      <c r="I24" s="1" t="s">
        <v>253</v>
      </c>
    </row>
    <row r="25" spans="1:9">
      <c r="A25" s="1" t="str">
        <f t="shared" si="0"/>
        <v>MDJ2_BZ07</v>
      </c>
      <c r="B25" s="1" t="s">
        <v>77</v>
      </c>
      <c r="C25" s="1" t="s">
        <v>157</v>
      </c>
      <c r="D25" s="1" t="s">
        <v>207</v>
      </c>
      <c r="E25" s="1" t="s">
        <v>78</v>
      </c>
      <c r="F25" s="1">
        <v>7</v>
      </c>
      <c r="G25" s="1" t="b">
        <v>1</v>
      </c>
      <c r="I25" s="1" t="s">
        <v>254</v>
      </c>
    </row>
    <row r="26" spans="1:9">
      <c r="A26" s="1" t="str">
        <f t="shared" si="0"/>
        <v>MDJ2_BZ08</v>
      </c>
      <c r="B26" s="1" t="s">
        <v>77</v>
      </c>
      <c r="C26" s="1" t="s">
        <v>158</v>
      </c>
      <c r="D26" s="1" t="s">
        <v>208</v>
      </c>
      <c r="E26" s="1" t="s">
        <v>78</v>
      </c>
      <c r="F26" s="1">
        <v>8</v>
      </c>
      <c r="G26" s="1" t="b">
        <v>1</v>
      </c>
      <c r="I26" s="1" t="s">
        <v>255</v>
      </c>
    </row>
    <row r="27" spans="1:9">
      <c r="A27" s="1" t="str">
        <f t="shared" si="0"/>
        <v>MDJ2_CZ02</v>
      </c>
      <c r="B27" s="1" t="s">
        <v>77</v>
      </c>
      <c r="C27" s="1" t="s">
        <v>165</v>
      </c>
      <c r="D27" s="1" t="s">
        <v>209</v>
      </c>
      <c r="E27" s="6" t="s">
        <v>127</v>
      </c>
      <c r="F27" s="1">
        <v>9</v>
      </c>
      <c r="G27" s="1" t="b">
        <v>1</v>
      </c>
      <c r="I27" s="1" t="s">
        <v>256</v>
      </c>
    </row>
    <row r="28" spans="1:9">
      <c r="A28" s="1" t="str">
        <f t="shared" si="0"/>
        <v>MDJ2_PM02</v>
      </c>
      <c r="B28" s="1" t="s">
        <v>77</v>
      </c>
      <c r="C28" s="1" t="s">
        <v>219</v>
      </c>
      <c r="D28" s="1" t="s">
        <v>220</v>
      </c>
      <c r="E28" s="1" t="s">
        <v>179</v>
      </c>
      <c r="F28" s="1">
        <v>10</v>
      </c>
      <c r="G28" s="1" t="b">
        <v>1</v>
      </c>
      <c r="I28" s="1" t="s">
        <v>257</v>
      </c>
    </row>
    <row r="29" spans="1:9">
      <c r="A29" s="1" t="str">
        <f t="shared" si="0"/>
        <v>MDJ2_MD04</v>
      </c>
      <c r="B29" s="1" t="s">
        <v>77</v>
      </c>
      <c r="C29" s="4" t="s">
        <v>166</v>
      </c>
      <c r="D29" s="1" t="s">
        <v>210</v>
      </c>
      <c r="E29" s="4" t="s">
        <v>61</v>
      </c>
      <c r="F29" s="1">
        <v>11</v>
      </c>
      <c r="G29" s="1" t="b">
        <v>1</v>
      </c>
      <c r="I29" s="1" t="s">
        <v>258</v>
      </c>
    </row>
    <row r="30" spans="1:9">
      <c r="A30" s="1" t="str">
        <f t="shared" si="0"/>
        <v>MDJ2_MD05</v>
      </c>
      <c r="B30" s="1" t="s">
        <v>77</v>
      </c>
      <c r="C30" s="4" t="s">
        <v>167</v>
      </c>
      <c r="D30" s="1" t="s">
        <v>211</v>
      </c>
      <c r="E30" s="4" t="s">
        <v>61</v>
      </c>
      <c r="F30" s="1">
        <v>12</v>
      </c>
      <c r="G30" s="1" t="b">
        <v>1</v>
      </c>
      <c r="I30" s="1" t="s">
        <v>259</v>
      </c>
    </row>
    <row r="31" spans="1:9">
      <c r="A31" s="1" t="str">
        <f t="shared" si="0"/>
        <v>MDJ2_MD06</v>
      </c>
      <c r="B31" s="1" t="s">
        <v>77</v>
      </c>
      <c r="C31" s="4" t="s">
        <v>168</v>
      </c>
      <c r="D31" s="1" t="s">
        <v>212</v>
      </c>
      <c r="E31" s="4" t="s">
        <v>61</v>
      </c>
      <c r="F31" s="1">
        <v>13</v>
      </c>
      <c r="G31" s="1" t="b">
        <v>1</v>
      </c>
      <c r="I31" s="1" t="s">
        <v>260</v>
      </c>
    </row>
    <row r="32" spans="1:9">
      <c r="A32" s="1" t="str">
        <f t="shared" si="0"/>
        <v>MDJ2_CD02</v>
      </c>
      <c r="B32" s="1" t="s">
        <v>77</v>
      </c>
      <c r="C32" s="1" t="s">
        <v>172</v>
      </c>
      <c r="D32" s="1" t="s">
        <v>213</v>
      </c>
      <c r="E32" s="1" t="s">
        <v>75</v>
      </c>
      <c r="F32" s="1">
        <v>14</v>
      </c>
      <c r="G32" s="1" t="b">
        <v>1</v>
      </c>
      <c r="I32" s="1" t="s">
        <v>261</v>
      </c>
    </row>
    <row r="33" spans="1:9">
      <c r="A33" s="1" t="str">
        <f t="shared" si="0"/>
        <v>MDJ2_FM02</v>
      </c>
      <c r="B33" s="1" t="s">
        <v>77</v>
      </c>
      <c r="C33" s="1" t="s">
        <v>169</v>
      </c>
      <c r="D33" s="1" t="s">
        <v>214</v>
      </c>
      <c r="E33" s="6" t="s">
        <v>216</v>
      </c>
      <c r="F33" s="1">
        <v>15</v>
      </c>
      <c r="G33" s="1" t="b">
        <v>1</v>
      </c>
      <c r="I33" s="1" t="str">
        <f t="shared" ref="I33:I34" si="2">C33</f>
        <v>FM02</v>
      </c>
    </row>
    <row r="34" spans="1:9">
      <c r="A34" s="1" t="str">
        <f t="shared" si="0"/>
        <v>MDJ2_MD06</v>
      </c>
      <c r="B34" s="1" t="s">
        <v>77</v>
      </c>
      <c r="C34" s="4" t="s">
        <v>168</v>
      </c>
      <c r="D34" s="1" t="s">
        <v>215</v>
      </c>
      <c r="E34" s="6" t="s">
        <v>128</v>
      </c>
      <c r="F34" s="1">
        <v>16</v>
      </c>
      <c r="G34" s="1" t="b">
        <v>1</v>
      </c>
      <c r="I34" s="1" t="str">
        <f t="shared" si="2"/>
        <v>MD06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8A2C-898C-4DE6-A541-D2EA92C91CD8}">
  <dimension ref="A1:E3"/>
  <sheetViews>
    <sheetView workbookViewId="0">
      <pane xSplit="1" topLeftCell="B1" activePane="topRight" state="frozen"/>
      <selection pane="topRight" activeCell="K13" sqref="K13"/>
    </sheetView>
  </sheetViews>
  <sheetFormatPr defaultColWidth="12.375" defaultRowHeight="14.25"/>
  <cols>
    <col min="1" max="1" width="6" style="1" bestFit="1" customWidth="1"/>
    <col min="2" max="2" width="11.125" style="1" bestFit="1" customWidth="1"/>
    <col min="3" max="3" width="9.5" style="1" bestFit="1" customWidth="1"/>
    <col min="4" max="4" width="8.125" style="1" bestFit="1" customWidth="1"/>
    <col min="5" max="5" width="10.25" style="1" bestFit="1" customWidth="1"/>
    <col min="6" max="16384" width="12.375" style="1"/>
  </cols>
  <sheetData>
    <row r="1" spans="1:5">
      <c r="A1" s="4" t="s">
        <v>66</v>
      </c>
      <c r="B1" s="1" t="s">
        <v>36</v>
      </c>
      <c r="C1" s="1" t="s">
        <v>39</v>
      </c>
      <c r="D1" s="1" t="s">
        <v>40</v>
      </c>
      <c r="E1" s="1" t="s">
        <v>69</v>
      </c>
    </row>
    <row r="2" spans="1:5">
      <c r="A2" s="1" t="s">
        <v>62</v>
      </c>
      <c r="B2" s="1" t="s">
        <v>222</v>
      </c>
      <c r="C2" s="1">
        <v>1</v>
      </c>
      <c r="D2" s="1" t="b">
        <v>1</v>
      </c>
    </row>
    <row r="3" spans="1:5">
      <c r="A3" s="1" t="s">
        <v>77</v>
      </c>
      <c r="B3" s="1" t="s">
        <v>223</v>
      </c>
      <c r="C3" s="1">
        <v>2</v>
      </c>
      <c r="D3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CommunicationTags</vt:lpstr>
      <vt:lpstr>DomainTags</vt:lpstr>
      <vt:lpstr>Device</vt:lpstr>
      <vt:lpstr>PlcTagRaw</vt:lpstr>
      <vt:lpstr>InkjetTag</vt:lpstr>
      <vt:lpstr>EquipmentRaw</vt:lpstr>
      <vt:lpstr>StationRaw</vt:lpstr>
      <vt:lpstr>LineRaw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2025-12-25T08:32:04Z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