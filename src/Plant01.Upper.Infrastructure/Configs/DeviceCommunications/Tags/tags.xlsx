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tags" sheetId="1" r:id="rId1"/>
    <sheet name="RAW" sheetId="2" r:id="rId2"/>
    <sheet name="RAW (2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<sst xmlns="http://schemas.openxmlformats.org/spreadsheetml/2006/main" count="675" uniqueCount="88">
  <si>
    <t>TagName</t>
  </si>
  <si>
    <t>Station</t>
  </si>
  <si>
    <t>EquipmentCode</t>
  </si>
  <si>
    <t>Unit</t>
  </si>
  <si>
    <t>Signal</t>
  </si>
  <si>
    <t>CnName</t>
  </si>
  <si>
    <t>Description</t>
  </si>
  <si>
    <t>DataType</t>
  </si>
  <si>
    <t>Address</t>
  </si>
  <si>
    <t>S7AreaType</t>
  </si>
  <si>
    <t>S7DbNumber</t>
  </si>
  <si>
    <t>S7Offset</t>
  </si>
  <si>
    <t>S7BitOffset</t>
  </si>
  <si>
    <t>S7BatchReadingId</t>
  </si>
  <si>
    <t>RW</t>
  </si>
  <si>
    <t>Length</t>
  </si>
  <si>
    <t>ChannelCode</t>
  </si>
  <si>
    <t>DeviceCode</t>
  </si>
  <si>
    <t>SDJ</t>
  </si>
  <si>
    <t>HeartBeat</t>
  </si>
  <si>
    <t>心跳</t>
  </si>
  <si>
    <t>BOOL</t>
  </si>
  <si>
    <t>DB</t>
  </si>
  <si>
    <t>READONLY</t>
  </si>
  <si>
    <t>SiemensS7Tcp</t>
  </si>
  <si>
    <t>PLC01</t>
  </si>
  <si>
    <t>BZJ</t>
  </si>
  <si>
    <t>PickBag</t>
  </si>
  <si>
    <t>Request</t>
  </si>
  <si>
    <t>上袋允许读码</t>
  </si>
  <si>
    <t>Code</t>
  </si>
  <si>
    <t>上袋当前袋码</t>
  </si>
  <si>
    <t>STRING</t>
  </si>
  <si>
    <t>Bagging</t>
  </si>
  <si>
    <t>套袋允许读码</t>
  </si>
  <si>
    <t>套袋当前袋码</t>
  </si>
  <si>
    <t>Sn</t>
  </si>
  <si>
    <t>套袋包装机编号</t>
  </si>
  <si>
    <t>INT</t>
  </si>
  <si>
    <t>BaggingStatus</t>
  </si>
  <si>
    <t>套袋状态</t>
  </si>
  <si>
    <t>TakeBag</t>
  </si>
  <si>
    <t>取袋允许读码</t>
  </si>
  <si>
    <t>取袋当前袋码</t>
  </si>
  <si>
    <t>取袋包装机编号</t>
  </si>
  <si>
    <t>包装机时间</t>
  </si>
  <si>
    <t>BaggingWeight</t>
  </si>
  <si>
    <t>包装机重量</t>
  </si>
  <si>
    <t>FLOAT</t>
  </si>
  <si>
    <t>WRITEONLY</t>
  </si>
  <si>
    <t>Done</t>
  </si>
  <si>
    <t>取袋读码完成</t>
  </si>
  <si>
    <t>套袋读码完成</t>
  </si>
  <si>
    <t>取包读码完成</t>
  </si>
  <si>
    <t>标签</t>
  </si>
  <si>
    <t>BatchReadingId</t>
  </si>
  <si>
    <t>PLC03</t>
  </si>
  <si>
    <t>CZJ01</t>
  </si>
  <si>
    <t>称重机允许读码</t>
  </si>
  <si>
    <t>称重机当前袋码</t>
  </si>
  <si>
    <t>称重机当前重量</t>
  </si>
  <si>
    <t>PMJ01</t>
  </si>
  <si>
    <t>喷码机允许读码</t>
  </si>
  <si>
    <t>喷码机当前袋码</t>
  </si>
  <si>
    <t>PMJ02</t>
  </si>
  <si>
    <t>MDJ01</t>
  </si>
  <si>
    <t>码垛机允许读码</t>
  </si>
  <si>
    <t>码垛机当前袋码</t>
  </si>
  <si>
    <t>C2码垛位实时数量</t>
  </si>
  <si>
    <t>C3码垛位实时数量</t>
  </si>
  <si>
    <t>C2码垛位出托申请</t>
  </si>
  <si>
    <t>C3码垛位出托申请</t>
  </si>
  <si>
    <t>TBJ01</t>
  </si>
  <si>
    <t>贴标机允许读码</t>
  </si>
  <si>
    <t>贴标机当前袋码</t>
  </si>
  <si>
    <t>贴标机当前状态</t>
  </si>
  <si>
    <t>SS</t>
  </si>
  <si>
    <t>称重机读码完成</t>
  </si>
  <si>
    <t>称重机重量是否合格</t>
  </si>
  <si>
    <t>码垛位</t>
  </si>
  <si>
    <t>喷码机读码完成</t>
  </si>
  <si>
    <t>喷码机重量是否合格</t>
  </si>
  <si>
    <t>码垛机读码完成</t>
  </si>
  <si>
    <t>码垛机码垛位</t>
  </si>
  <si>
    <t>码垛机C2码垛位允许出托</t>
  </si>
  <si>
    <t>码垛机C3码垛位允许出托</t>
  </si>
  <si>
    <t>贴标机读码完成</t>
  </si>
  <si>
    <t>贴标机允许出托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</si>
</sst>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trike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tabSelected="1" workbookViewId="0">
      <selection activeCell="N14" sqref="N14"/>
    </sheetView>
  </sheetViews>
  <sheetFormatPr defaultColWidth="9" defaultRowHeight="14"/>
  <cols>
    <col min="1" max="1" width="24.3333333333333" style="3" customWidth="1"/>
    <col min="2" max="2" width="18.3333333333333" customWidth="1"/>
    <col min="3" max="3" width="15.25" customWidth="1"/>
    <col min="4" max="4" width="26.25" customWidth="1"/>
    <col min="5" max="5" width="12.125" customWidth="1"/>
    <col min="6" max="6" width="16.25" customWidth="1"/>
    <col min="7" max="7" width="10.625" customWidth="1"/>
    <col min="8" max="8" width="13" customWidth="1"/>
    <col min="9" max="9" width="17.5" customWidth="1"/>
    <col min="10" max="10" width="6.25" customWidth="1"/>
    <col min="11" max="11" width="8.25" customWidth="1"/>
    <col min="12" max="12" width="11.625" customWidth="1"/>
    <col min="13" max="13" width="7.125" customWidth="1"/>
    <col min="14" max="14" width="12.625" customWidth="1"/>
    <col min="15" max="15" width="8.25" customWidth="1"/>
    <col min="16" max="16" width="9.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tr">
        <f t="shared" ref="A2:A17" si="0">_xlfn.CONCAT(IF(ISBLANK(B2),"",_xlfn.CONCAT(B2,".")),IF(ISBLANK(C2),"",_xlfn.CONCAT(C2,".")),IF(ISBLANK(D2),"",_xlfn.CONCAT(D2,".")),E2)</f>
        <v>SDJ.HeartBeat</v>
      </c>
      <c r="B2" s="1"/>
      <c r="C2" s="1" t="s">
        <v>18</v>
      </c>
      <c r="D2" s="1"/>
      <c r="E2" s="1" t="s">
        <v>19</v>
      </c>
      <c r="F2" s="1" t="s">
        <v>20</v>
      </c>
      <c r="G2" s="1"/>
      <c r="H2" s="1" t="s">
        <v>21</v>
      </c>
      <c r="I2" s="1" t="str">
        <f t="shared" ref="I2:I17" si="1">_xlfn.CONCAT(J2,K2,".",L2,IF(ISBLANK(M2),"",_xlfn.CONCAT(".",M2)))</f>
        <v>DB200.0</v>
      </c>
      <c r="J2" s="1" t="s">
        <v>22</v>
      </c>
      <c r="K2" s="1">
        <v>200</v>
      </c>
      <c r="L2" s="1">
        <v>0</v>
      </c>
      <c r="M2" s="1"/>
      <c r="N2" s="1">
        <v>1</v>
      </c>
      <c r="O2" s="1" t="s">
        <v>23</v>
      </c>
      <c r="P2" s="1" t="str">
        <f t="shared" ref="P2:P17" si="2">IF(H2="STRING",64,"")</f>
        <v/>
      </c>
      <c r="Q2" s="1" t="s">
        <v>24</v>
      </c>
      <c r="R2" s="1" t="s">
        <v>25</v>
      </c>
    </row>
    <row r="3" spans="1:18">
      <c r="A3" s="1" t="str">
        <f t="shared" si="0"/>
        <v>BZJ.PickBag.Request</v>
      </c>
      <c r="B3" s="1"/>
      <c r="C3" s="1" t="s">
        <v>26</v>
      </c>
      <c r="D3" s="1" t="s">
        <v>27</v>
      </c>
      <c r="E3" s="1" t="s">
        <v>28</v>
      </c>
      <c r="F3" s="1" t="s">
        <v>29</v>
      </c>
      <c r="G3" s="1"/>
      <c r="H3" s="1" t="s">
        <v>21</v>
      </c>
      <c r="I3" s="1" t="str">
        <f t="shared" si="1"/>
        <v>DB200.2</v>
      </c>
      <c r="J3" s="1" t="s">
        <v>22</v>
      </c>
      <c r="K3" s="1">
        <v>200</v>
      </c>
      <c r="L3" s="1">
        <v>2</v>
      </c>
      <c r="M3" s="1"/>
      <c r="N3" s="1">
        <v>1</v>
      </c>
      <c r="O3" s="1" t="s">
        <v>23</v>
      </c>
      <c r="P3" s="1" t="str">
        <f t="shared" si="2"/>
        <v/>
      </c>
      <c r="Q3" s="1" t="s">
        <v>24</v>
      </c>
      <c r="R3" s="1" t="s">
        <v>25</v>
      </c>
    </row>
    <row r="4" spans="1:18">
      <c r="A4" s="1" t="str">
        <f t="shared" si="0"/>
        <v>BZJ.PickBag.Code</v>
      </c>
      <c r="B4" s="1"/>
      <c r="C4" s="1" t="s">
        <v>26</v>
      </c>
      <c r="D4" s="1" t="s">
        <v>27</v>
      </c>
      <c r="E4" s="1" t="s">
        <v>30</v>
      </c>
      <c r="F4" s="1" t="s">
        <v>31</v>
      </c>
      <c r="G4" s="1"/>
      <c r="H4" s="1" t="s">
        <v>32</v>
      </c>
      <c r="I4" s="1" t="str">
        <f t="shared" si="1"/>
        <v>DB200.4</v>
      </c>
      <c r="J4" s="1" t="s">
        <v>22</v>
      </c>
      <c r="K4" s="1">
        <v>200</v>
      </c>
      <c r="L4" s="1">
        <v>4</v>
      </c>
      <c r="M4" s="1"/>
      <c r="N4" s="1">
        <v>1</v>
      </c>
      <c r="O4" s="1" t="s">
        <v>23</v>
      </c>
      <c r="P4" s="1">
        <f t="shared" si="2"/>
        <v>64</v>
      </c>
      <c r="Q4" s="1" t="s">
        <v>24</v>
      </c>
      <c r="R4" s="1" t="s">
        <v>25</v>
      </c>
    </row>
    <row r="5" spans="1:18">
      <c r="A5" s="1" t="str">
        <f t="shared" si="0"/>
        <v>BZJ.Bagging.Request</v>
      </c>
      <c r="B5" s="1"/>
      <c r="C5" s="1" t="s">
        <v>26</v>
      </c>
      <c r="D5" s="1" t="s">
        <v>33</v>
      </c>
      <c r="E5" s="1" t="s">
        <v>28</v>
      </c>
      <c r="F5" s="1" t="s">
        <v>34</v>
      </c>
      <c r="G5" s="1"/>
      <c r="H5" s="1" t="s">
        <v>21</v>
      </c>
      <c r="I5" s="1" t="str">
        <f t="shared" si="1"/>
        <v>DB200.90</v>
      </c>
      <c r="J5" s="1" t="s">
        <v>22</v>
      </c>
      <c r="K5" s="1">
        <v>200</v>
      </c>
      <c r="L5" s="1">
        <v>90</v>
      </c>
      <c r="M5" s="1"/>
      <c r="N5" s="1">
        <v>1</v>
      </c>
      <c r="O5" s="1" t="s">
        <v>23</v>
      </c>
      <c r="P5" s="1" t="str">
        <f t="shared" si="2"/>
        <v/>
      </c>
      <c r="Q5" s="1" t="s">
        <v>24</v>
      </c>
      <c r="R5" s="1" t="s">
        <v>25</v>
      </c>
    </row>
    <row r="6" spans="1:18">
      <c r="A6" s="1" t="str">
        <f t="shared" si="0"/>
        <v>BZJ.Bagging.Code</v>
      </c>
      <c r="B6" s="1"/>
      <c r="C6" s="1" t="s">
        <v>26</v>
      </c>
      <c r="D6" s="1" t="s">
        <v>33</v>
      </c>
      <c r="E6" s="1" t="s">
        <v>30</v>
      </c>
      <c r="F6" s="1" t="s">
        <v>35</v>
      </c>
      <c r="G6" s="1"/>
      <c r="H6" s="1" t="s">
        <v>32</v>
      </c>
      <c r="I6" s="1" t="str">
        <f t="shared" si="1"/>
        <v>DB200.92</v>
      </c>
      <c r="J6" s="1" t="s">
        <v>22</v>
      </c>
      <c r="K6" s="1">
        <v>200</v>
      </c>
      <c r="L6" s="1">
        <v>92</v>
      </c>
      <c r="M6" s="1"/>
      <c r="N6" s="1">
        <v>1</v>
      </c>
      <c r="O6" s="1" t="s">
        <v>23</v>
      </c>
      <c r="P6" s="1">
        <f t="shared" si="2"/>
        <v>64</v>
      </c>
      <c r="Q6" s="1" t="s">
        <v>24</v>
      </c>
      <c r="R6" s="1" t="s">
        <v>25</v>
      </c>
    </row>
    <row r="7" spans="1:18">
      <c r="A7" s="1" t="str">
        <f t="shared" si="0"/>
        <v>BZJ.Bagging.Sn</v>
      </c>
      <c r="B7" s="1"/>
      <c r="C7" s="1" t="s">
        <v>26</v>
      </c>
      <c r="D7" s="1" t="s">
        <v>33</v>
      </c>
      <c r="E7" s="1" t="s">
        <v>36</v>
      </c>
      <c r="F7" s="1" t="s">
        <v>37</v>
      </c>
      <c r="G7" s="1"/>
      <c r="H7" s="1" t="s">
        <v>38</v>
      </c>
      <c r="I7" s="1" t="str">
        <f t="shared" si="1"/>
        <v>DB200.158</v>
      </c>
      <c r="J7" s="1" t="s">
        <v>22</v>
      </c>
      <c r="K7" s="1">
        <v>200</v>
      </c>
      <c r="L7" s="1">
        <v>158</v>
      </c>
      <c r="M7" s="1"/>
      <c r="N7" s="1">
        <v>1</v>
      </c>
      <c r="O7" s="1" t="s">
        <v>23</v>
      </c>
      <c r="P7" s="1" t="str">
        <f t="shared" si="2"/>
        <v/>
      </c>
      <c r="Q7" s="1" t="s">
        <v>24</v>
      </c>
      <c r="R7" s="1" t="s">
        <v>25</v>
      </c>
    </row>
    <row r="8" spans="1:18">
      <c r="A8" s="1" t="str">
        <f t="shared" si="0"/>
        <v>BZJ.Bagging.BaggingStatus</v>
      </c>
      <c r="B8" s="1"/>
      <c r="C8" s="1" t="s">
        <v>26</v>
      </c>
      <c r="D8" s="1" t="s">
        <v>33</v>
      </c>
      <c r="E8" s="1" t="s">
        <v>39</v>
      </c>
      <c r="F8" s="1" t="s">
        <v>40</v>
      </c>
      <c r="G8" s="1"/>
      <c r="H8" s="1" t="s">
        <v>38</v>
      </c>
      <c r="I8" s="1" t="str">
        <f t="shared" si="1"/>
        <v>DB200.160</v>
      </c>
      <c r="J8" s="1" t="s">
        <v>22</v>
      </c>
      <c r="K8" s="1">
        <v>200</v>
      </c>
      <c r="L8" s="1">
        <v>160</v>
      </c>
      <c r="M8" s="1"/>
      <c r="N8" s="1">
        <v>1</v>
      </c>
      <c r="O8" s="1" t="s">
        <v>23</v>
      </c>
      <c r="P8" s="1" t="str">
        <f t="shared" si="2"/>
        <v/>
      </c>
      <c r="Q8" s="1" t="s">
        <v>24</v>
      </c>
      <c r="R8" s="1" t="s">
        <v>25</v>
      </c>
    </row>
    <row r="9" spans="1:18">
      <c r="A9" s="1" t="str">
        <f t="shared" si="0"/>
        <v>BZJ.TakeBag.Request</v>
      </c>
      <c r="B9" s="1"/>
      <c r="C9" s="1" t="s">
        <v>26</v>
      </c>
      <c r="D9" s="1" t="s">
        <v>41</v>
      </c>
      <c r="E9" s="1" t="s">
        <v>28</v>
      </c>
      <c r="F9" s="1" t="s">
        <v>42</v>
      </c>
      <c r="G9" s="1"/>
      <c r="H9" s="1" t="s">
        <v>21</v>
      </c>
      <c r="I9" s="1" t="str">
        <f t="shared" si="1"/>
        <v>DB200.182</v>
      </c>
      <c r="J9" s="1" t="s">
        <v>22</v>
      </c>
      <c r="K9" s="1">
        <v>200</v>
      </c>
      <c r="L9" s="1">
        <v>182</v>
      </c>
      <c r="M9" s="1"/>
      <c r="N9" s="1">
        <v>1</v>
      </c>
      <c r="O9" s="1" t="s">
        <v>23</v>
      </c>
      <c r="P9" s="1" t="str">
        <f t="shared" si="2"/>
        <v/>
      </c>
      <c r="Q9" s="1" t="s">
        <v>24</v>
      </c>
      <c r="R9" s="1" t="s">
        <v>25</v>
      </c>
    </row>
    <row r="10" spans="1:18">
      <c r="A10" s="1" t="str">
        <f t="shared" si="0"/>
        <v>BZJ.TakeBag.Code</v>
      </c>
      <c r="B10" s="1"/>
      <c r="C10" s="1" t="s">
        <v>26</v>
      </c>
      <c r="D10" s="1" t="s">
        <v>41</v>
      </c>
      <c r="E10" s="1" t="s">
        <v>30</v>
      </c>
      <c r="F10" s="1" t="s">
        <v>43</v>
      </c>
      <c r="G10" s="1"/>
      <c r="H10" s="1" t="s">
        <v>32</v>
      </c>
      <c r="I10" s="1" t="str">
        <f t="shared" si="1"/>
        <v>DB200.184</v>
      </c>
      <c r="J10" s="1" t="s">
        <v>22</v>
      </c>
      <c r="K10" s="1">
        <v>200</v>
      </c>
      <c r="L10" s="1">
        <v>184</v>
      </c>
      <c r="M10" s="1"/>
      <c r="N10" s="1">
        <v>1</v>
      </c>
      <c r="O10" s="1" t="s">
        <v>23</v>
      </c>
      <c r="P10" s="1">
        <f t="shared" si="2"/>
        <v>64</v>
      </c>
      <c r="Q10" s="1" t="s">
        <v>24</v>
      </c>
      <c r="R10" s="1" t="s">
        <v>25</v>
      </c>
    </row>
    <row r="11" spans="1:18">
      <c r="A11" s="1" t="str">
        <f t="shared" si="0"/>
        <v>BZJ.TakeBag.Sn</v>
      </c>
      <c r="B11" s="1"/>
      <c r="C11" s="1" t="s">
        <v>26</v>
      </c>
      <c r="D11" s="1" t="s">
        <v>41</v>
      </c>
      <c r="E11" s="1" t="s">
        <v>36</v>
      </c>
      <c r="F11" s="1" t="s">
        <v>44</v>
      </c>
      <c r="G11" s="1"/>
      <c r="H11" s="1" t="s">
        <v>38</v>
      </c>
      <c r="I11" s="1" t="str">
        <f t="shared" si="1"/>
        <v>DB200.250</v>
      </c>
      <c r="J11" s="1" t="s">
        <v>22</v>
      </c>
      <c r="K11" s="1">
        <v>200</v>
      </c>
      <c r="L11" s="1">
        <v>250</v>
      </c>
      <c r="M11" s="1"/>
      <c r="N11" s="1">
        <v>1</v>
      </c>
      <c r="O11" s="1" t="s">
        <v>23</v>
      </c>
      <c r="P11" s="1" t="str">
        <f t="shared" si="2"/>
        <v/>
      </c>
      <c r="Q11" s="1" t="s">
        <v>24</v>
      </c>
      <c r="R11" s="1" t="s">
        <v>25</v>
      </c>
    </row>
    <row r="12" spans="1:18">
      <c r="A12" s="1" t="str">
        <f t="shared" si="0"/>
        <v>BZJ.BaggingStatus</v>
      </c>
      <c r="B12" s="1"/>
      <c r="C12" s="1" t="s">
        <v>26</v>
      </c>
      <c r="D12" s="1"/>
      <c r="E12" s="1" t="s">
        <v>39</v>
      </c>
      <c r="F12" s="1" t="s">
        <v>45</v>
      </c>
      <c r="G12" s="1"/>
      <c r="H12" s="1" t="s">
        <v>38</v>
      </c>
      <c r="I12" s="1" t="str">
        <f t="shared" si="1"/>
        <v>DB200.252</v>
      </c>
      <c r="J12" s="1" t="s">
        <v>22</v>
      </c>
      <c r="K12" s="1">
        <v>200</v>
      </c>
      <c r="L12" s="1">
        <v>252</v>
      </c>
      <c r="M12" s="1"/>
      <c r="N12" s="1">
        <v>1</v>
      </c>
      <c r="O12" s="1" t="s">
        <v>23</v>
      </c>
      <c r="P12" s="1" t="str">
        <f t="shared" si="2"/>
        <v/>
      </c>
      <c r="Q12" s="1" t="s">
        <v>24</v>
      </c>
      <c r="R12" s="1" t="s">
        <v>25</v>
      </c>
    </row>
    <row r="13" spans="1:18">
      <c r="A13" s="1" t="str">
        <f t="shared" si="0"/>
        <v>BZJ.BaggingWeight</v>
      </c>
      <c r="B13" s="1"/>
      <c r="C13" s="1" t="s">
        <v>26</v>
      </c>
      <c r="D13" s="1"/>
      <c r="E13" s="1" t="s">
        <v>46</v>
      </c>
      <c r="F13" s="1" t="s">
        <v>47</v>
      </c>
      <c r="G13" s="1"/>
      <c r="H13" s="1" t="s">
        <v>48</v>
      </c>
      <c r="I13" s="1" t="str">
        <f t="shared" si="1"/>
        <v>DB200.254</v>
      </c>
      <c r="J13" s="1" t="s">
        <v>22</v>
      </c>
      <c r="K13" s="1">
        <v>200</v>
      </c>
      <c r="L13" s="1">
        <v>254</v>
      </c>
      <c r="M13" s="1"/>
      <c r="N13" s="1">
        <v>1</v>
      </c>
      <c r="O13" s="1" t="s">
        <v>23</v>
      </c>
      <c r="P13" s="1" t="str">
        <f t="shared" si="2"/>
        <v/>
      </c>
      <c r="Q13" s="1" t="s">
        <v>24</v>
      </c>
      <c r="R13" s="1" t="s">
        <v>25</v>
      </c>
    </row>
    <row r="14" spans="1:18">
      <c r="A14" s="1" t="str">
        <f t="shared" si="0"/>
        <v>BZJ.HeartBeat</v>
      </c>
      <c r="B14" s="1"/>
      <c r="C14" s="1" t="s">
        <v>26</v>
      </c>
      <c r="D14" s="1"/>
      <c r="E14" s="1" t="s">
        <v>19</v>
      </c>
      <c r="F14" s="1" t="s">
        <v>20</v>
      </c>
      <c r="G14" s="1"/>
      <c r="H14" s="1" t="s">
        <v>21</v>
      </c>
      <c r="I14" s="1" t="str">
        <f t="shared" si="1"/>
        <v>DB201.0</v>
      </c>
      <c r="J14" s="1" t="s">
        <v>22</v>
      </c>
      <c r="K14" s="1">
        <v>201</v>
      </c>
      <c r="L14" s="1">
        <v>0</v>
      </c>
      <c r="M14" s="1"/>
      <c r="N14" s="1">
        <v>2</v>
      </c>
      <c r="O14" s="1" t="s">
        <v>49</v>
      </c>
      <c r="P14" s="1" t="str">
        <f t="shared" si="2"/>
        <v/>
      </c>
      <c r="Q14" s="1" t="s">
        <v>24</v>
      </c>
      <c r="R14" s="1" t="s">
        <v>25</v>
      </c>
    </row>
    <row r="15" spans="1:18">
      <c r="A15" s="1" t="str">
        <f t="shared" si="0"/>
        <v>BZJ.PickBag.Done</v>
      </c>
      <c r="B15" s="1"/>
      <c r="C15" s="1" t="s">
        <v>26</v>
      </c>
      <c r="D15" s="1" t="s">
        <v>27</v>
      </c>
      <c r="E15" s="1" t="s">
        <v>50</v>
      </c>
      <c r="F15" s="1" t="s">
        <v>51</v>
      </c>
      <c r="G15" s="1"/>
      <c r="H15" s="1" t="s">
        <v>38</v>
      </c>
      <c r="I15" s="1" t="str">
        <f t="shared" si="1"/>
        <v>DB201.2</v>
      </c>
      <c r="J15" s="1" t="s">
        <v>22</v>
      </c>
      <c r="K15" s="1">
        <v>201</v>
      </c>
      <c r="L15" s="1">
        <v>2</v>
      </c>
      <c r="M15" s="1"/>
      <c r="N15" s="1">
        <v>2</v>
      </c>
      <c r="O15" s="1" t="s">
        <v>49</v>
      </c>
      <c r="P15" s="1" t="str">
        <f t="shared" si="2"/>
        <v/>
      </c>
      <c r="Q15" s="1" t="s">
        <v>24</v>
      </c>
      <c r="R15" s="1" t="s">
        <v>25</v>
      </c>
    </row>
    <row r="16" spans="1:18">
      <c r="A16" s="1" t="str">
        <f t="shared" si="0"/>
        <v>BZJ.Bagging.Done</v>
      </c>
      <c r="B16" s="1"/>
      <c r="C16" s="1" t="s">
        <v>26</v>
      </c>
      <c r="D16" s="1" t="s">
        <v>33</v>
      </c>
      <c r="E16" s="1" t="s">
        <v>50</v>
      </c>
      <c r="F16" s="1" t="s">
        <v>52</v>
      </c>
      <c r="G16" s="1"/>
      <c r="H16" s="1" t="s">
        <v>38</v>
      </c>
      <c r="I16" s="1" t="str">
        <f t="shared" si="1"/>
        <v>DB201.24</v>
      </c>
      <c r="J16" s="1" t="s">
        <v>22</v>
      </c>
      <c r="K16" s="1">
        <v>201</v>
      </c>
      <c r="L16" s="1">
        <v>24</v>
      </c>
      <c r="M16" s="1"/>
      <c r="N16" s="1">
        <v>2</v>
      </c>
      <c r="O16" s="1" t="s">
        <v>49</v>
      </c>
      <c r="P16" s="1" t="str">
        <f t="shared" si="2"/>
        <v/>
      </c>
      <c r="Q16" s="1" t="s">
        <v>24</v>
      </c>
      <c r="R16" s="1" t="s">
        <v>25</v>
      </c>
    </row>
    <row r="17" ht="13" customHeight="1" spans="1:18">
      <c r="A17" s="1" t="str">
        <f t="shared" si="0"/>
        <v>BZJ.TakeBag.Done</v>
      </c>
      <c r="B17" s="1"/>
      <c r="C17" s="1" t="s">
        <v>26</v>
      </c>
      <c r="D17" s="1" t="s">
        <v>41</v>
      </c>
      <c r="E17" s="1" t="s">
        <v>50</v>
      </c>
      <c r="F17" s="1" t="s">
        <v>53</v>
      </c>
      <c r="G17" s="1"/>
      <c r="H17" s="1" t="s">
        <v>38</v>
      </c>
      <c r="I17" s="1" t="str">
        <f t="shared" si="1"/>
        <v>DB201.46</v>
      </c>
      <c r="J17" s="1" t="s">
        <v>22</v>
      </c>
      <c r="K17" s="1">
        <v>201</v>
      </c>
      <c r="L17" s="1">
        <v>46</v>
      </c>
      <c r="M17" s="1"/>
      <c r="N17" s="1">
        <v>2</v>
      </c>
      <c r="O17" s="1" t="s">
        <v>49</v>
      </c>
      <c r="P17" s="1" t="str">
        <f t="shared" si="2"/>
        <v/>
      </c>
      <c r="Q17" s="1" t="s">
        <v>24</v>
      </c>
      <c r="R17" s="1" t="s">
        <v>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workbookViewId="0">
      <selection activeCell="A2" sqref="A2:R18"/>
    </sheetView>
  </sheetViews>
  <sheetFormatPr defaultColWidth="9" defaultRowHeight="14"/>
  <cols>
    <col min="1" max="1" width="25.75" style="1" customWidth="1"/>
    <col min="2" max="2" width="6.91666666666667" style="1" customWidth="1"/>
    <col min="3" max="3" width="14.8333333333333" style="1" customWidth="1"/>
    <col min="4" max="4" width="9.25" style="1" customWidth="1"/>
    <col min="5" max="5" width="14.3333333333333" style="1" customWidth="1"/>
    <col min="6" max="6" width="23.3333333333333" style="1" customWidth="1"/>
    <col min="7" max="7" width="10.4166666666667" style="1" customWidth="1"/>
    <col min="8" max="8" width="8.83333333333333" style="1" customWidth="1"/>
    <col min="9" max="9" width="10.1666666666667" style="1" customWidth="1"/>
    <col min="10" max="10" width="10.8333333333333" style="1" customWidth="1"/>
    <col min="11" max="11" width="12.5" style="1" customWidth="1"/>
    <col min="12" max="12" width="8" style="1" customWidth="1"/>
    <col min="13" max="13" width="10.0833333333333" style="1" customWidth="1"/>
    <col min="14" max="14" width="16.3333333333333" style="1" customWidth="1"/>
    <col min="15" max="15" width="11.1666666666667" style="1" customWidth="1"/>
    <col min="16" max="16" width="6.83333333333333" style="1" customWidth="1"/>
    <col min="17" max="17" width="13" style="1" customWidth="1"/>
    <col min="18" max="18" width="11" style="1" customWidth="1"/>
    <col min="19" max="16384" width="9" style="1"/>
  </cols>
  <sheetData>
    <row r="1" spans="1:18">
      <c r="A1" s="1" t="s">
        <v>54</v>
      </c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>
      <c r="A3" s="1" t="str">
        <f>_xlfn.CONCAT(IF(ISBLANK(B3),"",_xlfn.CONCAT(B3,".")),IF(ISBLANK(C3),"",_xlfn.CONCAT(C3,".")),IF(ISBLANK(D3),"",_xlfn.CONCAT(D3,".")),E3)</f>
        <v>SDJ.HeartBeat</v>
      </c>
      <c r="C3" s="1" t="s">
        <v>18</v>
      </c>
      <c r="E3" s="1" t="s">
        <v>19</v>
      </c>
      <c r="F3" s="1" t="s">
        <v>20</v>
      </c>
      <c r="H3" s="1" t="s">
        <v>21</v>
      </c>
      <c r="I3" s="1" t="str">
        <f>_xlfn.CONCAT(J3,K3,".",L3,IF(ISBLANK(M3),"",_xlfn.CONCAT(".",M3)))</f>
        <v>DB200.0</v>
      </c>
      <c r="J3" s="1" t="s">
        <v>22</v>
      </c>
      <c r="K3" s="1">
        <v>200</v>
      </c>
      <c r="L3" s="1">
        <v>0</v>
      </c>
      <c r="N3" s="1">
        <v>1</v>
      </c>
      <c r="O3" s="1" t="s">
        <v>23</v>
      </c>
      <c r="P3" s="1" t="str">
        <f t="shared" ref="P3:P7" si="0">IF(H3="STRING",64,"")</f>
        <v/>
      </c>
      <c r="Q3" s="1" t="s">
        <v>24</v>
      </c>
      <c r="R3" s="1" t="s">
        <v>25</v>
      </c>
    </row>
    <row r="4" spans="1:18">
      <c r="A4" s="1" t="str">
        <f>_xlfn.CONCAT(IF(ISBLANK(B4),"",_xlfn.CONCAT(B4,".")),IF(ISBLANK(C4),"",_xlfn.CONCAT(C4,".")),IF(ISBLANK(D4),"",_xlfn.CONCAT(D4,".")),E4)</f>
        <v>BZJ.PickBag.Request</v>
      </c>
      <c r="C4" s="1" t="s">
        <v>26</v>
      </c>
      <c r="D4" s="1" t="s">
        <v>27</v>
      </c>
      <c r="E4" s="1" t="s">
        <v>28</v>
      </c>
      <c r="F4" s="1" t="s">
        <v>29</v>
      </c>
      <c r="H4" s="1" t="s">
        <v>21</v>
      </c>
      <c r="I4" s="1" t="str">
        <f>_xlfn.CONCAT(J4,K4,".",L4,IF(ISBLANK(M4),"",_xlfn.CONCAT(".",M4)))</f>
        <v>DB200.2</v>
      </c>
      <c r="J4" s="1" t="s">
        <v>22</v>
      </c>
      <c r="K4" s="1">
        <v>200</v>
      </c>
      <c r="L4" s="1">
        <v>2</v>
      </c>
      <c r="N4" s="1">
        <v>1</v>
      </c>
      <c r="O4" s="1" t="s">
        <v>23</v>
      </c>
      <c r="P4" s="1" t="str">
        <f t="shared" si="0"/>
        <v/>
      </c>
      <c r="Q4" s="1" t="s">
        <v>24</v>
      </c>
      <c r="R4" s="1" t="s">
        <v>25</v>
      </c>
    </row>
    <row r="5" spans="1:18">
      <c r="A5" s="1" t="str">
        <f>_xlfn.CONCAT(IF(ISBLANK(B5),"",_xlfn.CONCAT(B5,".")),IF(ISBLANK(C5),"",_xlfn.CONCAT(C5,".")),IF(ISBLANK(D5),"",_xlfn.CONCAT(D5,".")),E5)</f>
        <v>BZJ.PickBag.Code</v>
      </c>
      <c r="C5" s="1" t="s">
        <v>26</v>
      </c>
      <c r="D5" s="1" t="s">
        <v>27</v>
      </c>
      <c r="E5" s="1" t="s">
        <v>30</v>
      </c>
      <c r="F5" s="1" t="s">
        <v>31</v>
      </c>
      <c r="H5" s="1" t="s">
        <v>32</v>
      </c>
      <c r="I5" s="1" t="str">
        <f>_xlfn.CONCAT(J5,K5,".",L5,IF(ISBLANK(M5),"",_xlfn.CONCAT(".",M5)))</f>
        <v>DB200.4</v>
      </c>
      <c r="J5" s="1" t="s">
        <v>22</v>
      </c>
      <c r="K5" s="1">
        <v>200</v>
      </c>
      <c r="L5" s="1">
        <v>4</v>
      </c>
      <c r="N5" s="1">
        <v>1</v>
      </c>
      <c r="O5" s="1" t="s">
        <v>23</v>
      </c>
      <c r="P5" s="1">
        <f t="shared" si="0"/>
        <v>64</v>
      </c>
      <c r="Q5" s="1" t="s">
        <v>24</v>
      </c>
      <c r="R5" s="1" t="s">
        <v>25</v>
      </c>
    </row>
    <row r="6" spans="1:18">
      <c r="A6" s="1" t="str">
        <f>_xlfn.CONCAT(IF(ISBLANK(B6),"",_xlfn.CONCAT(B6,".")),IF(ISBLANK(C6),"",_xlfn.CONCAT(C6,".")),IF(ISBLANK(D6),"",_xlfn.CONCAT(D6,".")),E6)</f>
        <v>BZJ.Bagging.Request</v>
      </c>
      <c r="C6" s="1" t="s">
        <v>26</v>
      </c>
      <c r="D6" s="1" t="s">
        <v>33</v>
      </c>
      <c r="E6" s="1" t="s">
        <v>28</v>
      </c>
      <c r="F6" s="1" t="s">
        <v>34</v>
      </c>
      <c r="H6" s="1" t="s">
        <v>21</v>
      </c>
      <c r="I6" s="1" t="str">
        <f>_xlfn.CONCAT(J6,K6,".",L6,IF(ISBLANK(M6),"",_xlfn.CONCAT(".",M6)))</f>
        <v>DB200.90</v>
      </c>
      <c r="J6" s="1" t="s">
        <v>22</v>
      </c>
      <c r="K6" s="1">
        <v>200</v>
      </c>
      <c r="L6" s="1">
        <v>90</v>
      </c>
      <c r="N6" s="1">
        <v>1</v>
      </c>
      <c r="O6" s="1" t="s">
        <v>23</v>
      </c>
      <c r="P6" s="1" t="str">
        <f t="shared" si="0"/>
        <v/>
      </c>
      <c r="Q6" s="1" t="s">
        <v>24</v>
      </c>
      <c r="R6" s="1" t="s">
        <v>25</v>
      </c>
    </row>
    <row r="7" spans="1:18">
      <c r="A7" s="1" t="str">
        <f>_xlfn.CONCAT(IF(ISBLANK(B7),"",_xlfn.CONCAT(B7,".")),IF(ISBLANK(C7),"",_xlfn.CONCAT(C7,".")),IF(ISBLANK(D7),"",_xlfn.CONCAT(D7,".")),E7)</f>
        <v>BZJ.Bagging.Code</v>
      </c>
      <c r="C7" s="1" t="s">
        <v>26</v>
      </c>
      <c r="D7" s="1" t="s">
        <v>33</v>
      </c>
      <c r="E7" s="1" t="s">
        <v>30</v>
      </c>
      <c r="F7" s="1" t="s">
        <v>35</v>
      </c>
      <c r="H7" s="1" t="s">
        <v>32</v>
      </c>
      <c r="I7" s="1" t="str">
        <f>_xlfn.CONCAT(J7,K7,".",L7,IF(ISBLANK(M7),"",_xlfn.CONCAT(".",M7)))</f>
        <v>DB200.92</v>
      </c>
      <c r="J7" s="1" t="s">
        <v>22</v>
      </c>
      <c r="K7" s="1">
        <v>200</v>
      </c>
      <c r="L7" s="1">
        <v>92</v>
      </c>
      <c r="N7" s="1">
        <v>1</v>
      </c>
      <c r="O7" s="1" t="s">
        <v>23</v>
      </c>
      <c r="P7" s="1">
        <f t="shared" si="0"/>
        <v>64</v>
      </c>
      <c r="Q7" s="1" t="s">
        <v>24</v>
      </c>
      <c r="R7" s="1" t="s">
        <v>25</v>
      </c>
    </row>
    <row r="8" spans="1:18">
      <c r="A8" s="1" t="str">
        <f>_xlfn.CONCAT(IF(ISBLANK(B8),"",_xlfn.CONCAT(B8,".")),IF(ISBLANK(C8),"",_xlfn.CONCAT(C8,".")),IF(ISBLANK(D8),"",_xlfn.CONCAT(D8,".")),E8)</f>
        <v>BZJ.Bagging.Sn</v>
      </c>
      <c r="C8" s="1" t="s">
        <v>26</v>
      </c>
      <c r="D8" s="1" t="s">
        <v>33</v>
      </c>
      <c r="E8" s="1" t="s">
        <v>36</v>
      </c>
      <c r="F8" s="1" t="s">
        <v>37</v>
      </c>
      <c r="H8" s="1" t="s">
        <v>38</v>
      </c>
      <c r="I8" s="1" t="str">
        <f>_xlfn.CONCAT(J8,K8,".",L8,IF(ISBLANK(M8),"",_xlfn.CONCAT(".",M8)))</f>
        <v>DB200.158</v>
      </c>
      <c r="J8" s="1" t="s">
        <v>22</v>
      </c>
      <c r="K8" s="1">
        <v>200</v>
      </c>
      <c r="L8" s="1">
        <v>158</v>
      </c>
      <c r="N8" s="1">
        <v>1</v>
      </c>
      <c r="O8" s="1" t="s">
        <v>23</v>
      </c>
      <c r="P8" s="1" t="str">
        <f>IF(H8="STRING",64,"")</f>
        <v/>
      </c>
      <c r="Q8" s="1" t="s">
        <v>24</v>
      </c>
      <c r="R8" s="1" t="s">
        <v>25</v>
      </c>
    </row>
    <row r="9" spans="1:18">
      <c r="A9" s="1" t="str">
        <f>_xlfn.CONCAT(IF(ISBLANK(B9),"",_xlfn.CONCAT(B9,".")),IF(ISBLANK(C9),"",_xlfn.CONCAT(C9,".")),IF(ISBLANK(D9),"",_xlfn.CONCAT(D9,".")),E9)</f>
        <v>BZJ.Bagging.BaggingStatus</v>
      </c>
      <c r="C9" s="1" t="s">
        <v>26</v>
      </c>
      <c r="D9" s="1" t="s">
        <v>33</v>
      </c>
      <c r="E9" s="1" t="s">
        <v>39</v>
      </c>
      <c r="F9" s="1" t="s">
        <v>40</v>
      </c>
      <c r="H9" s="1" t="s">
        <v>38</v>
      </c>
      <c r="I9" s="1" t="str">
        <f>_xlfn.CONCAT(J9,K9,".",L9,IF(ISBLANK(M9),"",_xlfn.CONCAT(".",M9)))</f>
        <v>DB200.160</v>
      </c>
      <c r="J9" s="1" t="s">
        <v>22</v>
      </c>
      <c r="K9" s="1">
        <v>200</v>
      </c>
      <c r="L9" s="1">
        <v>160</v>
      </c>
      <c r="N9" s="1">
        <v>1</v>
      </c>
      <c r="O9" s="1" t="s">
        <v>23</v>
      </c>
      <c r="P9" s="1" t="str">
        <f>IF(H9="STRING",64,"")</f>
        <v/>
      </c>
      <c r="Q9" s="1" t="s">
        <v>24</v>
      </c>
      <c r="R9" s="1" t="s">
        <v>25</v>
      </c>
    </row>
    <row r="10" spans="1:18">
      <c r="A10" s="1" t="str">
        <f>_xlfn.CONCAT(IF(ISBLANK(B10),"",_xlfn.CONCAT(B10,".")),IF(ISBLANK(C10),"",_xlfn.CONCAT(C10,".")),IF(ISBLANK(D10),"",_xlfn.CONCAT(D10,".")),E10)</f>
        <v>BZJ.TakeBag.Request</v>
      </c>
      <c r="C10" s="1" t="s">
        <v>26</v>
      </c>
      <c r="D10" s="1" t="s">
        <v>41</v>
      </c>
      <c r="E10" s="1" t="s">
        <v>28</v>
      </c>
      <c r="F10" s="1" t="s">
        <v>42</v>
      </c>
      <c r="H10" s="1" t="s">
        <v>21</v>
      </c>
      <c r="I10" s="1" t="str">
        <f>_xlfn.CONCAT(J10,K10,".",L10,IF(ISBLANK(M10),"",_xlfn.CONCAT(".",M10)))</f>
        <v>DB200.182</v>
      </c>
      <c r="J10" s="1" t="s">
        <v>22</v>
      </c>
      <c r="K10" s="1">
        <v>200</v>
      </c>
      <c r="L10" s="1">
        <v>182</v>
      </c>
      <c r="N10" s="1">
        <v>1</v>
      </c>
      <c r="O10" s="1" t="s">
        <v>23</v>
      </c>
      <c r="P10" s="1" t="str">
        <f>IF(H10="STRING",64,"")</f>
        <v/>
      </c>
      <c r="Q10" s="1" t="s">
        <v>24</v>
      </c>
      <c r="R10" s="1" t="s">
        <v>25</v>
      </c>
    </row>
    <row r="11" spans="1:18">
      <c r="A11" s="1" t="str">
        <f>_xlfn.CONCAT(IF(ISBLANK(B11),"",_xlfn.CONCAT(B11,".")),IF(ISBLANK(C11),"",_xlfn.CONCAT(C11,".")),IF(ISBLANK(D11),"",_xlfn.CONCAT(D11,".")),E11)</f>
        <v>BZJ.TakeBag.Code</v>
      </c>
      <c r="C11" s="1" t="s">
        <v>26</v>
      </c>
      <c r="D11" s="1" t="s">
        <v>41</v>
      </c>
      <c r="E11" s="1" t="s">
        <v>30</v>
      </c>
      <c r="F11" s="1" t="s">
        <v>43</v>
      </c>
      <c r="H11" s="1" t="s">
        <v>32</v>
      </c>
      <c r="I11" s="1" t="str">
        <f>_xlfn.CONCAT(J11,K11,".",L11,IF(ISBLANK(M11),"",_xlfn.CONCAT(".",M11)))</f>
        <v>DB200.184</v>
      </c>
      <c r="J11" s="1" t="s">
        <v>22</v>
      </c>
      <c r="K11" s="1">
        <v>200</v>
      </c>
      <c r="L11" s="1">
        <v>184</v>
      </c>
      <c r="N11" s="1">
        <v>1</v>
      </c>
      <c r="O11" s="1" t="s">
        <v>23</v>
      </c>
      <c r="P11" s="1">
        <f>IF(H11="STRING",64,"")</f>
        <v>64</v>
      </c>
      <c r="Q11" s="1" t="s">
        <v>24</v>
      </c>
      <c r="R11" s="1" t="s">
        <v>25</v>
      </c>
    </row>
    <row r="12" spans="1:18">
      <c r="A12" s="1" t="str">
        <f>_xlfn.CONCAT(IF(ISBLANK(B12),"",_xlfn.CONCAT(B12,".")),IF(ISBLANK(C12),"",_xlfn.CONCAT(C12,".")),IF(ISBLANK(D12),"",_xlfn.CONCAT(D12,".")),E12)</f>
        <v>BZJ.TakeBag.Sn</v>
      </c>
      <c r="C12" s="1" t="s">
        <v>26</v>
      </c>
      <c r="D12" s="1" t="s">
        <v>41</v>
      </c>
      <c r="E12" s="1" t="s">
        <v>36</v>
      </c>
      <c r="F12" s="1" t="s">
        <v>44</v>
      </c>
      <c r="H12" s="1" t="s">
        <v>38</v>
      </c>
      <c r="I12" s="1" t="str">
        <f>_xlfn.CONCAT(J12,K12,".",L12,IF(ISBLANK(M12),"",_xlfn.CONCAT(".",M12)))</f>
        <v>DB200.250</v>
      </c>
      <c r="J12" s="1" t="s">
        <v>22</v>
      </c>
      <c r="K12" s="1">
        <v>200</v>
      </c>
      <c r="L12" s="1">
        <v>250</v>
      </c>
      <c r="N12" s="1">
        <v>1</v>
      </c>
      <c r="O12" s="1" t="s">
        <v>23</v>
      </c>
      <c r="P12" s="1" t="str">
        <f>IF(H12="STRING",64,"")</f>
        <v/>
      </c>
      <c r="Q12" s="1" t="s">
        <v>24</v>
      </c>
      <c r="R12" s="1" t="s">
        <v>25</v>
      </c>
    </row>
    <row r="13" spans="1:18">
      <c r="A13" s="1" t="str">
        <f>_xlfn.CONCAT(IF(ISBLANK(B13),"",_xlfn.CONCAT(B13,".")),IF(ISBLANK(C13),"",_xlfn.CONCAT(C13,".")),IF(ISBLANK(D13),"",_xlfn.CONCAT(D13,".")),E13)</f>
        <v>BZJ.BaggingStatus</v>
      </c>
      <c r="C13" s="1" t="s">
        <v>26</v>
      </c>
      <c r="E13" s="1" t="s">
        <v>39</v>
      </c>
      <c r="F13" s="1" t="s">
        <v>45</v>
      </c>
      <c r="H13" s="1" t="s">
        <v>38</v>
      </c>
      <c r="I13" s="1" t="str">
        <f>_xlfn.CONCAT(J13,K13,".",L13,IF(ISBLANK(M13),"",_xlfn.CONCAT(".",M13)))</f>
        <v>DB200.252</v>
      </c>
      <c r="J13" s="1" t="s">
        <v>22</v>
      </c>
      <c r="K13" s="1">
        <v>200</v>
      </c>
      <c r="L13" s="1">
        <v>252</v>
      </c>
      <c r="N13" s="1">
        <v>1</v>
      </c>
      <c r="O13" s="1" t="s">
        <v>23</v>
      </c>
      <c r="P13" s="1" t="str">
        <f>IF(H13="STRING",64,"")</f>
        <v/>
      </c>
      <c r="Q13" s="1" t="s">
        <v>24</v>
      </c>
      <c r="R13" s="1" t="s">
        <v>25</v>
      </c>
    </row>
    <row r="14" spans="1:18">
      <c r="A14" s="1" t="str">
        <f>_xlfn.CONCAT(IF(ISBLANK(B14),"",_xlfn.CONCAT(B14,".")),IF(ISBLANK(C14),"",_xlfn.CONCAT(C14,".")),IF(ISBLANK(D14),"",_xlfn.CONCAT(D14,".")),E14)</f>
        <v>BZJ.BaggingWeight</v>
      </c>
      <c r="C14" s="1" t="s">
        <v>26</v>
      </c>
      <c r="E14" s="1" t="s">
        <v>46</v>
      </c>
      <c r="F14" s="1" t="s">
        <v>47</v>
      </c>
      <c r="H14" s="1" t="s">
        <v>48</v>
      </c>
      <c r="I14" s="1" t="str">
        <f>_xlfn.CONCAT(J14,K14,".",L14,IF(ISBLANK(M14),"",_xlfn.CONCAT(".",M14)))</f>
        <v>DB200.254</v>
      </c>
      <c r="J14" s="1" t="s">
        <v>22</v>
      </c>
      <c r="K14" s="1">
        <v>200</v>
      </c>
      <c r="L14" s="1">
        <v>254</v>
      </c>
      <c r="N14" s="1">
        <v>1</v>
      </c>
      <c r="O14" s="1" t="s">
        <v>23</v>
      </c>
      <c r="P14" s="1" t="str">
        <f>IF(H14="STRING",64,"")</f>
        <v/>
      </c>
      <c r="Q14" s="1" t="s">
        <v>24</v>
      </c>
      <c r="R14" s="1" t="s">
        <v>25</v>
      </c>
    </row>
    <row r="15" spans="1:18">
      <c r="A15" s="1" t="str">
        <f>_xlfn.CONCAT(IF(ISBLANK(B15),"",_xlfn.CONCAT(B15,".")),IF(ISBLANK(C15),"",_xlfn.CONCAT(C15,".")),IF(ISBLANK(D15),"",_xlfn.CONCAT(D15,".")),E15)</f>
        <v>BZJ.HeartBeat</v>
      </c>
      <c r="C15" s="1" t="s">
        <v>26</v>
      </c>
      <c r="E15" s="1" t="s">
        <v>19</v>
      </c>
      <c r="F15" s="1" t="s">
        <v>20</v>
      </c>
      <c r="H15" s="1" t="s">
        <v>21</v>
      </c>
      <c r="I15" s="1" t="str">
        <f>_xlfn.CONCAT(J15,K15,".",L15,IF(ISBLANK(M15),"",_xlfn.CONCAT(".",M15)))</f>
        <v>DB201.0</v>
      </c>
      <c r="J15" s="1" t="s">
        <v>22</v>
      </c>
      <c r="K15" s="1">
        <v>201</v>
      </c>
      <c r="L15" s="1">
        <v>0</v>
      </c>
      <c r="N15" s="1">
        <v>1</v>
      </c>
      <c r="O15" s="1" t="s">
        <v>49</v>
      </c>
      <c r="P15" s="1" t="str">
        <f>IF(H15="STRING",64,"")</f>
        <v/>
      </c>
      <c r="Q15" s="1" t="s">
        <v>24</v>
      </c>
      <c r="R15" s="1" t="s">
        <v>25</v>
      </c>
    </row>
    <row r="16" spans="1:18">
      <c r="A16" s="1" t="str">
        <f>_xlfn.CONCAT(IF(ISBLANK(B16),"",_xlfn.CONCAT(B16,".")),IF(ISBLANK(C16),"",_xlfn.CONCAT(C16,".")),IF(ISBLANK(D16),"",_xlfn.CONCAT(D16,".")),E16)</f>
        <v>BZJ.PickBag.Done</v>
      </c>
      <c r="C16" s="1" t="s">
        <v>26</v>
      </c>
      <c r="D16" s="1" t="s">
        <v>27</v>
      </c>
      <c r="E16" s="1" t="s">
        <v>50</v>
      </c>
      <c r="F16" s="1" t="s">
        <v>51</v>
      </c>
      <c r="H16" s="1" t="s">
        <v>38</v>
      </c>
      <c r="I16" s="1" t="str">
        <f>_xlfn.CONCAT(J16,K16,".",L16,IF(ISBLANK(M16),"",_xlfn.CONCAT(".",M16)))</f>
        <v>DB201.2</v>
      </c>
      <c r="J16" s="1" t="s">
        <v>22</v>
      </c>
      <c r="K16" s="1">
        <v>201</v>
      </c>
      <c r="L16" s="1">
        <v>2</v>
      </c>
      <c r="N16" s="1">
        <v>1</v>
      </c>
      <c r="O16" s="1" t="s">
        <v>49</v>
      </c>
      <c r="P16" s="1" t="str">
        <f>IF(H16="STRING",64,"")</f>
        <v/>
      </c>
      <c r="Q16" s="1" t="s">
        <v>24</v>
      </c>
      <c r="R16" s="1" t="s">
        <v>25</v>
      </c>
    </row>
    <row r="17" spans="1:18">
      <c r="A17" s="1" t="str">
        <f>_xlfn.CONCAT(IF(ISBLANK(B17),"",_xlfn.CONCAT(B17,".")),IF(ISBLANK(C17),"",_xlfn.CONCAT(C17,".")),IF(ISBLANK(D17),"",_xlfn.CONCAT(D17,".")),E17)</f>
        <v>BZJ.Bagging.Done</v>
      </c>
      <c r="C17" s="1" t="s">
        <v>26</v>
      </c>
      <c r="D17" s="1" t="s">
        <v>33</v>
      </c>
      <c r="E17" s="1" t="s">
        <v>50</v>
      </c>
      <c r="F17" s="1" t="s">
        <v>52</v>
      </c>
      <c r="H17" s="1" t="s">
        <v>38</v>
      </c>
      <c r="I17" s="1" t="str">
        <f>_xlfn.CONCAT(J17,K17,".",L17,IF(ISBLANK(M17),"",_xlfn.CONCAT(".",M17)))</f>
        <v>DB201.24</v>
      </c>
      <c r="J17" s="1" t="s">
        <v>22</v>
      </c>
      <c r="K17" s="1">
        <v>201</v>
      </c>
      <c r="L17" s="1">
        <v>24</v>
      </c>
      <c r="N17" s="1">
        <v>1</v>
      </c>
      <c r="O17" s="1" t="s">
        <v>49</v>
      </c>
      <c r="P17" s="1" t="str">
        <f>IF(H17="STRING",64,"")</f>
        <v/>
      </c>
      <c r="Q17" s="1" t="s">
        <v>24</v>
      </c>
      <c r="R17" s="1" t="s">
        <v>25</v>
      </c>
    </row>
    <row r="18" spans="1:18">
      <c r="A18" s="1" t="str">
        <f>_xlfn.CONCAT(IF(ISBLANK(B18),"",_xlfn.CONCAT(B18,".")),IF(ISBLANK(C18),"",_xlfn.CONCAT(C18,".")),IF(ISBLANK(D18),"",_xlfn.CONCAT(D18,".")),E18)</f>
        <v>BZJ.TakeBag.Done</v>
      </c>
      <c r="C18" s="1" t="s">
        <v>26</v>
      </c>
      <c r="D18" s="1" t="s">
        <v>41</v>
      </c>
      <c r="E18" s="1" t="s">
        <v>50</v>
      </c>
      <c r="F18" s="1" t="s">
        <v>53</v>
      </c>
      <c r="H18" s="1" t="s">
        <v>38</v>
      </c>
      <c r="I18" s="1" t="str">
        <f>_xlfn.CONCAT(J18,K18,".",L18,IF(ISBLANK(M18),"",_xlfn.CONCAT(".",M18)))</f>
        <v>DB201.46</v>
      </c>
      <c r="J18" s="1" t="s">
        <v>22</v>
      </c>
      <c r="K18" s="1">
        <v>201</v>
      </c>
      <c r="L18" s="1">
        <v>46</v>
      </c>
      <c r="N18" s="1">
        <v>1</v>
      </c>
      <c r="O18" s="1" t="s">
        <v>49</v>
      </c>
      <c r="P18" s="1" t="str">
        <f>IF(H18="STRING",64,"")</f>
        <v/>
      </c>
      <c r="Q18" s="1" t="s">
        <v>24</v>
      </c>
      <c r="R18" s="1" t="s">
        <v>25</v>
      </c>
    </row>
  </sheetData>
  <mergeCells count="1">
    <mergeCell ref="A1:E1"/>
  </mergeCells>
  <pageMargins left="0.7" right="0.7" top="0.75" bottom="0.75" header="0.3" footer="0.3"/>
  <pageSetup paperSize="9" orientation="portrait" horizontalDpi="203" verticalDpi="20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workbookViewId="0">
      <selection activeCell="A19" sqref="A19:R48"/>
    </sheetView>
  </sheetViews>
  <sheetFormatPr defaultColWidth="9" defaultRowHeight="14"/>
  <cols>
    <col min="1" max="1" width="25.75" style="1" customWidth="1"/>
    <col min="2" max="2" width="6.91666666666667" style="1" customWidth="1"/>
    <col min="3" max="3" width="14.8333333333333" style="1" customWidth="1"/>
    <col min="4" max="4" width="9.25" style="1" customWidth="1"/>
    <col min="5" max="5" width="14.3333333333333" style="1" customWidth="1"/>
    <col min="6" max="6" width="23.3333333333333" style="1" customWidth="1"/>
    <col min="7" max="7" width="10.4166666666667" style="1" customWidth="1"/>
    <col min="8" max="8" width="8.83333333333333" style="1" customWidth="1"/>
    <col min="9" max="9" width="10.1666666666667" style="1" customWidth="1"/>
    <col min="10" max="10" width="10.8333333333333" style="1" customWidth="1"/>
    <col min="11" max="11" width="12.5" style="1" customWidth="1"/>
    <col min="12" max="12" width="8" style="1" customWidth="1"/>
    <col min="13" max="13" width="10.0833333333333" style="1" customWidth="1"/>
    <col min="14" max="14" width="14.25" style="1" customWidth="1"/>
    <col min="15" max="15" width="11.1666666666667" style="1" customWidth="1"/>
    <col min="16" max="16" width="6.83333333333333" style="1" customWidth="1"/>
    <col min="17" max="17" width="13" style="1" customWidth="1"/>
    <col min="18" max="18" width="11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55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tr">
        <f t="shared" ref="A2:A48" si="0">_xlfn.CONCAT(IF(ISBLANK(B2),"",_xlfn.CONCAT(B2,".")),IF(ISBLANK(C2),"",_xlfn.CONCAT(C2,".")),IF(ISBLANK(D2),"",_xlfn.CONCAT(D2,".")),E2)</f>
        <v>HeartBeat</v>
      </c>
      <c r="E2" s="1" t="s">
        <v>19</v>
      </c>
      <c r="F2" s="1" t="s">
        <v>20</v>
      </c>
      <c r="H2" s="1" t="s">
        <v>21</v>
      </c>
      <c r="I2" s="1" t="str">
        <f t="shared" ref="I2:I48" si="1">_xlfn.CONCAT(J2,K2,".",L2,IF(ISBLANK(M2),"",_xlfn.CONCAT(".",M2)))</f>
        <v>DB200.0</v>
      </c>
      <c r="J2" s="1" t="s">
        <v>22</v>
      </c>
      <c r="K2" s="1">
        <v>200</v>
      </c>
      <c r="L2" s="1">
        <v>0</v>
      </c>
      <c r="N2" s="1">
        <v>1</v>
      </c>
      <c r="O2" s="1" t="s">
        <v>23</v>
      </c>
      <c r="P2" s="1" t="str">
        <f t="shared" ref="P2:P48" si="2">IF(H2="STRING",64,"")</f>
        <v/>
      </c>
      <c r="Q2" s="1" t="s">
        <v>24</v>
      </c>
      <c r="R2" s="1" t="s">
        <v>25</v>
      </c>
    </row>
    <row r="3" spans="1:18">
      <c r="A3" s="1" t="str">
        <f t="shared" si="0"/>
        <v>PickBag.Request</v>
      </c>
      <c r="D3" s="1" t="s">
        <v>27</v>
      </c>
      <c r="E3" s="1" t="s">
        <v>28</v>
      </c>
      <c r="F3" s="1" t="s">
        <v>29</v>
      </c>
      <c r="H3" s="1" t="s">
        <v>21</v>
      </c>
      <c r="I3" s="1" t="str">
        <f t="shared" si="1"/>
        <v>DB200.2</v>
      </c>
      <c r="J3" s="1" t="s">
        <v>22</v>
      </c>
      <c r="K3" s="1">
        <v>200</v>
      </c>
      <c r="L3" s="1">
        <v>2</v>
      </c>
      <c r="N3" s="1">
        <v>1</v>
      </c>
      <c r="O3" s="1" t="s">
        <v>23</v>
      </c>
      <c r="P3" s="1" t="str">
        <f t="shared" si="2"/>
        <v/>
      </c>
      <c r="Q3" s="1" t="s">
        <v>24</v>
      </c>
      <c r="R3" s="1" t="s">
        <v>25</v>
      </c>
    </row>
    <row r="4" spans="1:18">
      <c r="A4" s="1" t="str">
        <f t="shared" si="0"/>
        <v>PickBag.Code</v>
      </c>
      <c r="D4" s="1" t="s">
        <v>27</v>
      </c>
      <c r="E4" s="1" t="s">
        <v>30</v>
      </c>
      <c r="F4" s="1" t="s">
        <v>31</v>
      </c>
      <c r="H4" s="1" t="s">
        <v>32</v>
      </c>
      <c r="I4" s="1" t="str">
        <f t="shared" si="1"/>
        <v>DB200.4</v>
      </c>
      <c r="J4" s="1" t="s">
        <v>22</v>
      </c>
      <c r="K4" s="1">
        <v>200</v>
      </c>
      <c r="L4" s="1">
        <v>4</v>
      </c>
      <c r="N4" s="1">
        <v>1</v>
      </c>
      <c r="O4" s="1" t="s">
        <v>23</v>
      </c>
      <c r="P4" s="1">
        <f t="shared" si="2"/>
        <v>64</v>
      </c>
      <c r="Q4" s="1" t="s">
        <v>24</v>
      </c>
      <c r="R4" s="1" t="s">
        <v>25</v>
      </c>
    </row>
    <row r="5" spans="1:18">
      <c r="A5" s="1" t="str">
        <f t="shared" si="0"/>
        <v>Bagging.Request</v>
      </c>
      <c r="D5" s="1" t="s">
        <v>33</v>
      </c>
      <c r="E5" s="1" t="s">
        <v>28</v>
      </c>
      <c r="F5" s="1" t="s">
        <v>34</v>
      </c>
      <c r="H5" s="1" t="s">
        <v>21</v>
      </c>
      <c r="I5" s="1" t="str">
        <f t="shared" si="1"/>
        <v>DB200.90</v>
      </c>
      <c r="J5" s="1" t="s">
        <v>22</v>
      </c>
      <c r="K5" s="1">
        <v>200</v>
      </c>
      <c r="L5" s="1">
        <v>90</v>
      </c>
      <c r="N5" s="1">
        <v>1</v>
      </c>
      <c r="O5" s="1" t="s">
        <v>23</v>
      </c>
      <c r="P5" s="1" t="str">
        <f t="shared" si="2"/>
        <v/>
      </c>
      <c r="Q5" s="1" t="s">
        <v>24</v>
      </c>
      <c r="R5" s="1" t="s">
        <v>25</v>
      </c>
    </row>
    <row r="6" spans="1:18">
      <c r="A6" s="1" t="str">
        <f t="shared" si="0"/>
        <v>Bagging.Code</v>
      </c>
      <c r="D6" s="1" t="s">
        <v>33</v>
      </c>
      <c r="E6" s="1" t="s">
        <v>30</v>
      </c>
      <c r="F6" s="1" t="s">
        <v>35</v>
      </c>
      <c r="H6" s="1" t="s">
        <v>32</v>
      </c>
      <c r="I6" s="1" t="str">
        <f t="shared" si="1"/>
        <v>DB200.92</v>
      </c>
      <c r="J6" s="1" t="s">
        <v>22</v>
      </c>
      <c r="K6" s="1">
        <v>200</v>
      </c>
      <c r="L6" s="1">
        <v>92</v>
      </c>
      <c r="N6" s="1">
        <v>1</v>
      </c>
      <c r="O6" s="1" t="s">
        <v>23</v>
      </c>
      <c r="P6" s="1">
        <f t="shared" si="2"/>
        <v>64</v>
      </c>
      <c r="Q6" s="1" t="s">
        <v>24</v>
      </c>
      <c r="R6" s="1" t="s">
        <v>25</v>
      </c>
    </row>
    <row r="7" spans="1:18">
      <c r="A7" s="1" t="str">
        <f t="shared" si="0"/>
        <v>Bagging.Sn</v>
      </c>
      <c r="D7" s="1" t="s">
        <v>33</v>
      </c>
      <c r="E7" s="1" t="s">
        <v>36</v>
      </c>
      <c r="F7" s="1" t="s">
        <v>37</v>
      </c>
      <c r="H7" s="1" t="s">
        <v>38</v>
      </c>
      <c r="I7" s="1" t="str">
        <f t="shared" si="1"/>
        <v>DB200.158</v>
      </c>
      <c r="J7" s="1" t="s">
        <v>22</v>
      </c>
      <c r="K7" s="1">
        <v>200</v>
      </c>
      <c r="L7" s="1">
        <v>158</v>
      </c>
      <c r="N7" s="1">
        <v>1</v>
      </c>
      <c r="O7" s="1" t="s">
        <v>23</v>
      </c>
      <c r="P7" s="1" t="str">
        <f t="shared" si="2"/>
        <v/>
      </c>
      <c r="Q7" s="1" t="s">
        <v>24</v>
      </c>
      <c r="R7" s="1" t="s">
        <v>25</v>
      </c>
    </row>
    <row r="8" spans="1:18">
      <c r="A8" s="1" t="str">
        <f t="shared" si="0"/>
        <v>Bagging.BaggingStatus</v>
      </c>
      <c r="D8" s="1" t="s">
        <v>33</v>
      </c>
      <c r="E8" s="1" t="s">
        <v>39</v>
      </c>
      <c r="F8" s="1" t="s">
        <v>40</v>
      </c>
      <c r="H8" s="1" t="s">
        <v>38</v>
      </c>
      <c r="I8" s="1" t="str">
        <f t="shared" si="1"/>
        <v>DB200.160</v>
      </c>
      <c r="J8" s="1" t="s">
        <v>22</v>
      </c>
      <c r="K8" s="1">
        <v>200</v>
      </c>
      <c r="L8" s="1">
        <v>160</v>
      </c>
      <c r="N8" s="1">
        <v>1</v>
      </c>
      <c r="O8" s="1" t="s">
        <v>23</v>
      </c>
      <c r="P8" s="1" t="str">
        <f t="shared" si="2"/>
        <v/>
      </c>
      <c r="Q8" s="1" t="s">
        <v>24</v>
      </c>
      <c r="R8" s="1" t="s">
        <v>25</v>
      </c>
    </row>
    <row r="9" spans="1:18">
      <c r="A9" s="1" t="str">
        <f t="shared" si="0"/>
        <v>TakeBag.Request</v>
      </c>
      <c r="D9" s="1" t="s">
        <v>41</v>
      </c>
      <c r="E9" s="1" t="s">
        <v>28</v>
      </c>
      <c r="F9" s="1" t="s">
        <v>42</v>
      </c>
      <c r="H9" s="1" t="s">
        <v>21</v>
      </c>
      <c r="I9" s="1" t="str">
        <f t="shared" si="1"/>
        <v>DB200.182</v>
      </c>
      <c r="J9" s="1" t="s">
        <v>22</v>
      </c>
      <c r="K9" s="1">
        <v>200</v>
      </c>
      <c r="L9" s="1">
        <v>182</v>
      </c>
      <c r="N9" s="1">
        <v>1</v>
      </c>
      <c r="O9" s="1" t="s">
        <v>23</v>
      </c>
      <c r="P9" s="1" t="str">
        <f t="shared" si="2"/>
        <v/>
      </c>
      <c r="Q9" s="1" t="s">
        <v>24</v>
      </c>
      <c r="R9" s="1" t="s">
        <v>25</v>
      </c>
    </row>
    <row r="10" spans="1:18">
      <c r="A10" s="1" t="str">
        <f t="shared" si="0"/>
        <v>TakeBag.Code</v>
      </c>
      <c r="D10" s="1" t="s">
        <v>41</v>
      </c>
      <c r="E10" s="1" t="s">
        <v>30</v>
      </c>
      <c r="F10" s="1" t="s">
        <v>43</v>
      </c>
      <c r="H10" s="1" t="s">
        <v>32</v>
      </c>
      <c r="I10" s="1" t="str">
        <f t="shared" si="1"/>
        <v>DB200.184</v>
      </c>
      <c r="J10" s="1" t="s">
        <v>22</v>
      </c>
      <c r="K10" s="1">
        <v>200</v>
      </c>
      <c r="L10" s="1">
        <v>184</v>
      </c>
      <c r="N10" s="1">
        <v>1</v>
      </c>
      <c r="O10" s="1" t="s">
        <v>23</v>
      </c>
      <c r="P10" s="1">
        <f t="shared" si="2"/>
        <v>64</v>
      </c>
      <c r="Q10" s="1" t="s">
        <v>24</v>
      </c>
      <c r="R10" s="1" t="s">
        <v>25</v>
      </c>
    </row>
    <row r="11" spans="1:18">
      <c r="A11" s="1" t="str">
        <f t="shared" si="0"/>
        <v>TakeBag.Sn</v>
      </c>
      <c r="D11" s="1" t="s">
        <v>41</v>
      </c>
      <c r="E11" s="1" t="s">
        <v>36</v>
      </c>
      <c r="F11" s="1" t="s">
        <v>44</v>
      </c>
      <c r="H11" s="1" t="s">
        <v>38</v>
      </c>
      <c r="I11" s="1" t="str">
        <f t="shared" si="1"/>
        <v>DB200.250</v>
      </c>
      <c r="J11" s="1" t="s">
        <v>22</v>
      </c>
      <c r="K11" s="1">
        <v>200</v>
      </c>
      <c r="L11" s="1">
        <v>250</v>
      </c>
      <c r="N11" s="1">
        <v>1</v>
      </c>
      <c r="O11" s="1" t="s">
        <v>23</v>
      </c>
      <c r="P11" s="1" t="str">
        <f t="shared" si="2"/>
        <v/>
      </c>
      <c r="Q11" s="1" t="s">
        <v>24</v>
      </c>
      <c r="R11" s="1" t="s">
        <v>25</v>
      </c>
    </row>
    <row r="12" spans="1:18">
      <c r="A12" s="1" t="str">
        <f t="shared" si="0"/>
        <v>BaggingStatus</v>
      </c>
      <c r="E12" s="1" t="s">
        <v>39</v>
      </c>
      <c r="F12" s="1" t="s">
        <v>45</v>
      </c>
      <c r="H12" s="1" t="s">
        <v>38</v>
      </c>
      <c r="I12" s="1" t="str">
        <f t="shared" si="1"/>
        <v>DB200.252</v>
      </c>
      <c r="J12" s="1" t="s">
        <v>22</v>
      </c>
      <c r="K12" s="1">
        <v>200</v>
      </c>
      <c r="L12" s="1">
        <v>252</v>
      </c>
      <c r="N12" s="1">
        <v>1</v>
      </c>
      <c r="O12" s="1" t="s">
        <v>23</v>
      </c>
      <c r="P12" s="1" t="str">
        <f t="shared" si="2"/>
        <v/>
      </c>
      <c r="Q12" s="1" t="s">
        <v>24</v>
      </c>
      <c r="R12" s="1" t="s">
        <v>25</v>
      </c>
    </row>
    <row r="13" spans="1:18">
      <c r="A13" s="1" t="str">
        <f t="shared" si="0"/>
        <v>BaggingWeight</v>
      </c>
      <c r="E13" s="1" t="s">
        <v>46</v>
      </c>
      <c r="F13" s="1" t="s">
        <v>47</v>
      </c>
      <c r="H13" s="1" t="s">
        <v>48</v>
      </c>
      <c r="I13" s="1" t="str">
        <f t="shared" si="1"/>
        <v>DB200.254</v>
      </c>
      <c r="J13" s="1" t="s">
        <v>22</v>
      </c>
      <c r="K13" s="1">
        <v>200</v>
      </c>
      <c r="L13" s="1">
        <v>254</v>
      </c>
      <c r="N13" s="1">
        <v>1</v>
      </c>
      <c r="O13" s="1" t="s">
        <v>23</v>
      </c>
      <c r="P13" s="1" t="str">
        <f t="shared" si="2"/>
        <v/>
      </c>
      <c r="Q13" s="1" t="s">
        <v>24</v>
      </c>
      <c r="R13" s="1" t="s">
        <v>25</v>
      </c>
    </row>
    <row r="14" spans="1:18">
      <c r="A14" s="1" t="str">
        <f t="shared" si="0"/>
        <v>HeartBeat</v>
      </c>
      <c r="E14" s="1" t="s">
        <v>19</v>
      </c>
      <c r="F14" s="1" t="s">
        <v>20</v>
      </c>
      <c r="H14" s="1" t="s">
        <v>21</v>
      </c>
      <c r="I14" s="1" t="str">
        <f t="shared" si="1"/>
        <v>DB201.0</v>
      </c>
      <c r="J14" s="1" t="s">
        <v>22</v>
      </c>
      <c r="K14" s="1">
        <v>201</v>
      </c>
      <c r="L14" s="1">
        <v>0</v>
      </c>
      <c r="N14" s="1">
        <v>1</v>
      </c>
      <c r="O14" s="1" t="s">
        <v>49</v>
      </c>
      <c r="P14" s="1" t="str">
        <f t="shared" si="2"/>
        <v/>
      </c>
      <c r="Q14" s="1" t="s">
        <v>24</v>
      </c>
      <c r="R14" s="1" t="s">
        <v>25</v>
      </c>
    </row>
    <row r="15" spans="1:18">
      <c r="A15" s="1" t="str">
        <f t="shared" si="0"/>
        <v>PickBag.Done</v>
      </c>
      <c r="D15" s="1" t="s">
        <v>27</v>
      </c>
      <c r="E15" s="1" t="s">
        <v>50</v>
      </c>
      <c r="F15" s="1" t="s">
        <v>51</v>
      </c>
      <c r="H15" s="1" t="s">
        <v>38</v>
      </c>
      <c r="I15" s="1" t="str">
        <f t="shared" si="1"/>
        <v>DB201.2</v>
      </c>
      <c r="J15" s="1" t="s">
        <v>22</v>
      </c>
      <c r="K15" s="1">
        <v>201</v>
      </c>
      <c r="L15" s="1">
        <v>2</v>
      </c>
      <c r="N15" s="1">
        <v>1</v>
      </c>
      <c r="O15" s="1" t="s">
        <v>49</v>
      </c>
      <c r="P15" s="1" t="str">
        <f t="shared" si="2"/>
        <v/>
      </c>
      <c r="Q15" s="1" t="s">
        <v>24</v>
      </c>
      <c r="R15" s="1" t="s">
        <v>25</v>
      </c>
    </row>
    <row r="16" spans="1:18">
      <c r="A16" s="1" t="str">
        <f t="shared" si="0"/>
        <v>Bagging.Done</v>
      </c>
      <c r="D16" s="1" t="s">
        <v>33</v>
      </c>
      <c r="E16" s="1" t="s">
        <v>50</v>
      </c>
      <c r="F16" s="1" t="s">
        <v>52</v>
      </c>
      <c r="H16" s="1" t="s">
        <v>38</v>
      </c>
      <c r="I16" s="1" t="str">
        <f t="shared" si="1"/>
        <v>DB201.24</v>
      </c>
      <c r="J16" s="1" t="s">
        <v>22</v>
      </c>
      <c r="K16" s="1">
        <v>201</v>
      </c>
      <c r="L16" s="1">
        <v>24</v>
      </c>
      <c r="N16" s="1">
        <v>1</v>
      </c>
      <c r="O16" s="1" t="s">
        <v>49</v>
      </c>
      <c r="P16" s="1" t="str">
        <f t="shared" si="2"/>
        <v/>
      </c>
      <c r="Q16" s="1" t="s">
        <v>24</v>
      </c>
      <c r="R16" s="1" t="s">
        <v>25</v>
      </c>
    </row>
    <row r="17" spans="1:18">
      <c r="A17" s="1" t="str">
        <f t="shared" si="0"/>
        <v>TakeBag.Done</v>
      </c>
      <c r="D17" s="1" t="s">
        <v>41</v>
      </c>
      <c r="E17" s="1" t="s">
        <v>50</v>
      </c>
      <c r="F17" s="1" t="s">
        <v>53</v>
      </c>
      <c r="H17" s="1" t="s">
        <v>38</v>
      </c>
      <c r="I17" s="1" t="str">
        <f t="shared" si="1"/>
        <v>DB201.46</v>
      </c>
      <c r="J17" s="1" t="s">
        <v>22</v>
      </c>
      <c r="K17" s="1">
        <v>201</v>
      </c>
      <c r="L17" s="1">
        <v>46</v>
      </c>
      <c r="N17" s="1">
        <v>1</v>
      </c>
      <c r="O17" s="1" t="s">
        <v>49</v>
      </c>
      <c r="P17" s="1" t="str">
        <f t="shared" si="2"/>
        <v/>
      </c>
      <c r="Q17" s="1" t="s">
        <v>24</v>
      </c>
      <c r="R17" s="1" t="s">
        <v>25</v>
      </c>
    </row>
    <row r="18" spans="1:18">
      <c r="A18" s="1" t="str">
        <f t="shared" si="0"/>
        <v/>
      </c>
      <c r="F18" s="1" t="s">
        <v>20</v>
      </c>
      <c r="H18" s="1" t="s">
        <v>21</v>
      </c>
      <c r="I18" s="1" t="str">
        <f t="shared" si="1"/>
        <v>DB200.0</v>
      </c>
      <c r="J18" s="1" t="s">
        <v>22</v>
      </c>
      <c r="K18" s="1">
        <v>200</v>
      </c>
      <c r="L18" s="1">
        <v>0</v>
      </c>
      <c r="O18" s="1" t="s">
        <v>23</v>
      </c>
      <c r="P18" s="1" t="str">
        <f t="shared" si="2"/>
        <v/>
      </c>
      <c r="Q18" s="1" t="s">
        <v>24</v>
      </c>
      <c r="R18" s="1" t="s">
        <v>56</v>
      </c>
    </row>
    <row r="19" spans="1:18">
      <c r="A19" s="1" t="str">
        <f t="shared" si="0"/>
        <v>CZJ01.</v>
      </c>
      <c r="C19" s="1" t="s">
        <v>57</v>
      </c>
      <c r="F19" s="1" t="s">
        <v>58</v>
      </c>
      <c r="H19" s="1" t="s">
        <v>21</v>
      </c>
      <c r="I19" s="1" t="str">
        <f t="shared" si="1"/>
        <v>DB200.2</v>
      </c>
      <c r="J19" s="1" t="s">
        <v>22</v>
      </c>
      <c r="K19" s="1">
        <v>200</v>
      </c>
      <c r="L19" s="1">
        <v>2</v>
      </c>
      <c r="O19" s="1" t="s">
        <v>23</v>
      </c>
      <c r="P19" s="1" t="str">
        <f t="shared" si="2"/>
        <v/>
      </c>
      <c r="Q19" s="1" t="s">
        <v>24</v>
      </c>
      <c r="R19" s="1" t="s">
        <v>56</v>
      </c>
    </row>
    <row r="20" spans="1:18">
      <c r="A20" s="1" t="str">
        <f t="shared" si="0"/>
        <v>CZJ01.</v>
      </c>
      <c r="C20" s="1" t="s">
        <v>57</v>
      </c>
      <c r="F20" s="1" t="s">
        <v>59</v>
      </c>
      <c r="H20" s="1" t="s">
        <v>32</v>
      </c>
      <c r="I20" s="1" t="str">
        <f t="shared" si="1"/>
        <v>DB200.4</v>
      </c>
      <c r="J20" s="1" t="s">
        <v>22</v>
      </c>
      <c r="K20" s="1">
        <v>200</v>
      </c>
      <c r="L20" s="1">
        <v>4</v>
      </c>
      <c r="O20" s="1" t="s">
        <v>23</v>
      </c>
      <c r="P20" s="1">
        <f t="shared" si="2"/>
        <v>64</v>
      </c>
      <c r="Q20" s="1" t="s">
        <v>24</v>
      </c>
      <c r="R20" s="1" t="s">
        <v>56</v>
      </c>
    </row>
    <row r="21" spans="1:18">
      <c r="A21" s="1" t="str">
        <f t="shared" si="0"/>
        <v>CZJ01.</v>
      </c>
      <c r="C21" s="1" t="s">
        <v>57</v>
      </c>
      <c r="F21" s="1" t="s">
        <v>60</v>
      </c>
      <c r="H21" s="1" t="s">
        <v>48</v>
      </c>
      <c r="I21" s="1" t="str">
        <f t="shared" si="1"/>
        <v>DB200.70</v>
      </c>
      <c r="J21" s="1" t="s">
        <v>22</v>
      </c>
      <c r="K21" s="1">
        <v>200</v>
      </c>
      <c r="L21" s="1">
        <v>70</v>
      </c>
      <c r="O21" s="1" t="s">
        <v>23</v>
      </c>
      <c r="P21" s="1" t="str">
        <f t="shared" si="2"/>
        <v/>
      </c>
      <c r="Q21" s="1" t="s">
        <v>24</v>
      </c>
      <c r="R21" s="1" t="s">
        <v>56</v>
      </c>
    </row>
    <row r="22" spans="1:18">
      <c r="A22" s="1" t="str">
        <f t="shared" si="0"/>
        <v>PMJ01.</v>
      </c>
      <c r="C22" s="1" t="s">
        <v>61</v>
      </c>
      <c r="F22" s="1" t="s">
        <v>62</v>
      </c>
      <c r="H22" s="1" t="s">
        <v>21</v>
      </c>
      <c r="I22" s="1" t="str">
        <f t="shared" si="1"/>
        <v>DB200.94</v>
      </c>
      <c r="J22" s="1" t="s">
        <v>22</v>
      </c>
      <c r="K22" s="1">
        <v>200</v>
      </c>
      <c r="L22" s="1">
        <v>94</v>
      </c>
      <c r="O22" s="1" t="s">
        <v>23</v>
      </c>
      <c r="P22" s="1" t="str">
        <f t="shared" si="2"/>
        <v/>
      </c>
      <c r="Q22" s="1" t="s">
        <v>24</v>
      </c>
      <c r="R22" s="1" t="s">
        <v>56</v>
      </c>
    </row>
    <row r="23" spans="1:18">
      <c r="A23" s="1" t="str">
        <f t="shared" si="0"/>
        <v>PMJ01.</v>
      </c>
      <c r="C23" s="1" t="s">
        <v>61</v>
      </c>
      <c r="F23" s="1" t="s">
        <v>63</v>
      </c>
      <c r="H23" s="1" t="s">
        <v>32</v>
      </c>
      <c r="I23" s="1" t="str">
        <f t="shared" si="1"/>
        <v>DB200.96</v>
      </c>
      <c r="J23" s="1" t="s">
        <v>22</v>
      </c>
      <c r="K23" s="1">
        <v>200</v>
      </c>
      <c r="L23" s="1">
        <v>96</v>
      </c>
      <c r="O23" s="1" t="s">
        <v>23</v>
      </c>
      <c r="P23" s="1">
        <f t="shared" si="2"/>
        <v>64</v>
      </c>
      <c r="Q23" s="1" t="s">
        <v>24</v>
      </c>
      <c r="R23" s="1" t="s">
        <v>56</v>
      </c>
    </row>
    <row r="24" spans="1:18">
      <c r="A24" s="1" t="str">
        <f t="shared" si="0"/>
        <v>PMJ02.</v>
      </c>
      <c r="C24" s="1" t="s">
        <v>64</v>
      </c>
      <c r="F24" s="1" t="s">
        <v>62</v>
      </c>
      <c r="H24" s="1" t="s">
        <v>21</v>
      </c>
      <c r="I24" s="1" t="str">
        <f t="shared" si="1"/>
        <v>DB200.182</v>
      </c>
      <c r="J24" s="1" t="s">
        <v>22</v>
      </c>
      <c r="K24" s="1">
        <v>200</v>
      </c>
      <c r="L24" s="1">
        <v>182</v>
      </c>
      <c r="O24" s="1" t="s">
        <v>23</v>
      </c>
      <c r="P24" s="1" t="str">
        <f t="shared" si="2"/>
        <v/>
      </c>
      <c r="Q24" s="1" t="s">
        <v>24</v>
      </c>
      <c r="R24" s="1" t="s">
        <v>56</v>
      </c>
    </row>
    <row r="25" spans="1:18">
      <c r="A25" s="1" t="str">
        <f t="shared" si="0"/>
        <v>PMJ02.</v>
      </c>
      <c r="C25" s="1" t="s">
        <v>64</v>
      </c>
      <c r="F25" s="1" t="s">
        <v>63</v>
      </c>
      <c r="H25" s="1" t="s">
        <v>32</v>
      </c>
      <c r="I25" s="1" t="str">
        <f t="shared" si="1"/>
        <v>DB200.184</v>
      </c>
      <c r="J25" s="1" t="s">
        <v>22</v>
      </c>
      <c r="K25" s="1">
        <v>200</v>
      </c>
      <c r="L25" s="1">
        <v>184</v>
      </c>
      <c r="O25" s="1" t="s">
        <v>23</v>
      </c>
      <c r="P25" s="1">
        <f t="shared" si="2"/>
        <v>64</v>
      </c>
      <c r="Q25" s="1" t="s">
        <v>24</v>
      </c>
      <c r="R25" s="1" t="s">
        <v>56</v>
      </c>
    </row>
    <row r="26" spans="1:18">
      <c r="A26" s="1" t="str">
        <f t="shared" si="0"/>
        <v>MDJ01.</v>
      </c>
      <c r="C26" s="1" t="s">
        <v>65</v>
      </c>
      <c r="F26" s="1" t="s">
        <v>66</v>
      </c>
      <c r="H26" s="1" t="s">
        <v>21</v>
      </c>
      <c r="I26" s="1" t="str">
        <f t="shared" si="1"/>
        <v>DB200.270</v>
      </c>
      <c r="J26" s="1" t="s">
        <v>22</v>
      </c>
      <c r="K26" s="1">
        <v>200</v>
      </c>
      <c r="L26" s="1">
        <v>270</v>
      </c>
      <c r="O26" s="1" t="s">
        <v>23</v>
      </c>
      <c r="P26" s="1" t="str">
        <f t="shared" si="2"/>
        <v/>
      </c>
      <c r="Q26" s="1" t="s">
        <v>24</v>
      </c>
      <c r="R26" s="1" t="s">
        <v>56</v>
      </c>
    </row>
    <row r="27" spans="1:18">
      <c r="A27" s="1" t="str">
        <f t="shared" si="0"/>
        <v>MDJ01.</v>
      </c>
      <c r="C27" s="1" t="s">
        <v>65</v>
      </c>
      <c r="F27" s="1" t="s">
        <v>67</v>
      </c>
      <c r="H27" s="1" t="s">
        <v>32</v>
      </c>
      <c r="I27" s="1" t="str">
        <f t="shared" si="1"/>
        <v>DB200.272</v>
      </c>
      <c r="J27" s="1" t="s">
        <v>22</v>
      </c>
      <c r="K27" s="1">
        <v>200</v>
      </c>
      <c r="L27" s="1">
        <v>272</v>
      </c>
      <c r="O27" s="1" t="s">
        <v>23</v>
      </c>
      <c r="P27" s="1">
        <f t="shared" si="2"/>
        <v>64</v>
      </c>
      <c r="Q27" s="1" t="s">
        <v>24</v>
      </c>
      <c r="R27" s="1" t="s">
        <v>56</v>
      </c>
    </row>
    <row r="28" spans="1:18">
      <c r="A28" s="1" t="str">
        <f t="shared" si="0"/>
        <v>MDJ01.</v>
      </c>
      <c r="C28" s="1" t="s">
        <v>65</v>
      </c>
      <c r="F28" s="1" t="s">
        <v>68</v>
      </c>
      <c r="H28" s="1" t="s">
        <v>38</v>
      </c>
      <c r="I28" s="1" t="str">
        <f t="shared" si="1"/>
        <v>DB200.358</v>
      </c>
      <c r="J28" s="1" t="s">
        <v>22</v>
      </c>
      <c r="K28" s="1">
        <v>200</v>
      </c>
      <c r="L28" s="1">
        <v>358</v>
      </c>
      <c r="O28" s="1" t="s">
        <v>23</v>
      </c>
      <c r="P28" s="1" t="str">
        <f t="shared" si="2"/>
        <v/>
      </c>
      <c r="Q28" s="1" t="s">
        <v>24</v>
      </c>
      <c r="R28" s="1" t="s">
        <v>56</v>
      </c>
    </row>
    <row r="29" spans="1:18">
      <c r="A29" s="1" t="str">
        <f t="shared" si="0"/>
        <v>MDJ01.</v>
      </c>
      <c r="C29" s="1" t="s">
        <v>65</v>
      </c>
      <c r="F29" s="1" t="s">
        <v>69</v>
      </c>
      <c r="H29" s="1" t="s">
        <v>38</v>
      </c>
      <c r="I29" s="1" t="str">
        <f t="shared" si="1"/>
        <v>DB200.360</v>
      </c>
      <c r="J29" s="1" t="s">
        <v>22</v>
      </c>
      <c r="K29" s="1">
        <v>200</v>
      </c>
      <c r="L29" s="1">
        <v>360</v>
      </c>
      <c r="O29" s="1" t="s">
        <v>23</v>
      </c>
      <c r="P29" s="1" t="str">
        <f t="shared" si="2"/>
        <v/>
      </c>
      <c r="Q29" s="1" t="s">
        <v>24</v>
      </c>
      <c r="R29" s="1" t="s">
        <v>56</v>
      </c>
    </row>
    <row r="30" spans="1:18">
      <c r="A30" s="1" t="str">
        <f t="shared" si="0"/>
        <v>MDJ01.</v>
      </c>
      <c r="C30" s="1" t="s">
        <v>65</v>
      </c>
      <c r="F30" s="1" t="s">
        <v>70</v>
      </c>
      <c r="H30" s="1" t="s">
        <v>21</v>
      </c>
      <c r="I30" s="1" t="str">
        <f t="shared" si="1"/>
        <v>DB200.362</v>
      </c>
      <c r="J30" s="1" t="s">
        <v>22</v>
      </c>
      <c r="K30" s="1">
        <v>200</v>
      </c>
      <c r="L30" s="1">
        <v>362</v>
      </c>
      <c r="O30" s="1" t="s">
        <v>23</v>
      </c>
      <c r="P30" s="1" t="str">
        <f t="shared" si="2"/>
        <v/>
      </c>
      <c r="Q30" s="1" t="s">
        <v>24</v>
      </c>
      <c r="R30" s="1" t="s">
        <v>56</v>
      </c>
    </row>
    <row r="31" spans="1:18">
      <c r="A31" s="1" t="str">
        <f t="shared" si="0"/>
        <v>MDJ01.</v>
      </c>
      <c r="C31" s="1" t="s">
        <v>65</v>
      </c>
      <c r="F31" s="1" t="s">
        <v>71</v>
      </c>
      <c r="H31" s="1" t="s">
        <v>21</v>
      </c>
      <c r="I31" s="1" t="str">
        <f t="shared" si="1"/>
        <v>DB200.364</v>
      </c>
      <c r="J31" s="1" t="s">
        <v>22</v>
      </c>
      <c r="K31" s="1">
        <v>200</v>
      </c>
      <c r="L31" s="1">
        <v>364</v>
      </c>
      <c r="O31" s="1" t="s">
        <v>23</v>
      </c>
      <c r="P31" s="1" t="str">
        <f t="shared" si="2"/>
        <v/>
      </c>
      <c r="Q31" s="1" t="s">
        <v>24</v>
      </c>
      <c r="R31" s="1" t="s">
        <v>56</v>
      </c>
    </row>
    <row r="32" spans="1:18">
      <c r="A32" s="1" t="str">
        <f t="shared" si="0"/>
        <v>TBJ01.</v>
      </c>
      <c r="C32" s="1" t="s">
        <v>72</v>
      </c>
      <c r="F32" s="1" t="s">
        <v>73</v>
      </c>
      <c r="H32" s="1" t="s">
        <v>21</v>
      </c>
      <c r="I32" s="1" t="str">
        <f t="shared" si="1"/>
        <v>DB200.386</v>
      </c>
      <c r="J32" s="1" t="s">
        <v>22</v>
      </c>
      <c r="K32" s="1">
        <v>200</v>
      </c>
      <c r="L32" s="1">
        <v>386</v>
      </c>
      <c r="O32" s="1" t="s">
        <v>23</v>
      </c>
      <c r="P32" s="1" t="str">
        <f t="shared" si="2"/>
        <v/>
      </c>
      <c r="Q32" s="1" t="s">
        <v>24</v>
      </c>
      <c r="R32" s="1" t="s">
        <v>56</v>
      </c>
    </row>
    <row r="33" spans="1:18">
      <c r="A33" s="1" t="str">
        <f t="shared" si="0"/>
        <v>TBJ01.</v>
      </c>
      <c r="C33" s="1" t="s">
        <v>72</v>
      </c>
      <c r="F33" s="1" t="s">
        <v>74</v>
      </c>
      <c r="H33" s="1" t="s">
        <v>32</v>
      </c>
      <c r="I33" s="1" t="str">
        <f t="shared" si="1"/>
        <v>DB200.388</v>
      </c>
      <c r="J33" s="1" t="s">
        <v>22</v>
      </c>
      <c r="K33" s="1">
        <v>200</v>
      </c>
      <c r="L33" s="1">
        <v>388</v>
      </c>
      <c r="O33" s="1" t="s">
        <v>23</v>
      </c>
      <c r="P33" s="1">
        <f t="shared" si="2"/>
        <v>64</v>
      </c>
      <c r="Q33" s="1" t="s">
        <v>24</v>
      </c>
      <c r="R33" s="1" t="s">
        <v>56</v>
      </c>
    </row>
    <row r="34" spans="1:18">
      <c r="A34" s="1" t="str">
        <f t="shared" si="0"/>
        <v>TBJ01.</v>
      </c>
      <c r="C34" s="1" t="s">
        <v>72</v>
      </c>
      <c r="F34" s="1" t="s">
        <v>75</v>
      </c>
      <c r="H34" s="1" t="s">
        <v>21</v>
      </c>
      <c r="I34" s="1" t="str">
        <f t="shared" si="1"/>
        <v>DB200.454</v>
      </c>
      <c r="J34" s="1" t="s">
        <v>22</v>
      </c>
      <c r="K34" s="1">
        <v>200</v>
      </c>
      <c r="L34" s="1">
        <v>454</v>
      </c>
      <c r="O34" s="1" t="s">
        <v>23</v>
      </c>
      <c r="P34" s="1" t="str">
        <f t="shared" si="2"/>
        <v/>
      </c>
      <c r="Q34" s="1" t="s">
        <v>24</v>
      </c>
      <c r="R34" s="1" t="s">
        <v>56</v>
      </c>
    </row>
    <row r="35" spans="1:18">
      <c r="A35" s="1" t="str">
        <f t="shared" si="0"/>
        <v>SS.</v>
      </c>
      <c r="C35" s="1" t="s">
        <v>76</v>
      </c>
      <c r="F35" s="1" t="s">
        <v>20</v>
      </c>
      <c r="H35" s="1" t="s">
        <v>21</v>
      </c>
      <c r="I35" s="1" t="str">
        <f t="shared" si="1"/>
        <v>DB201.0</v>
      </c>
      <c r="J35" s="1" t="s">
        <v>22</v>
      </c>
      <c r="K35" s="1">
        <v>201</v>
      </c>
      <c r="L35" s="1">
        <v>0</v>
      </c>
      <c r="O35" s="1" t="s">
        <v>49</v>
      </c>
      <c r="P35" s="1" t="str">
        <f t="shared" si="2"/>
        <v/>
      </c>
      <c r="Q35" s="1" t="s">
        <v>24</v>
      </c>
      <c r="R35" s="1" t="s">
        <v>56</v>
      </c>
    </row>
    <row r="36" spans="1:18">
      <c r="A36" s="1" t="str">
        <f t="shared" si="0"/>
        <v>CZJ01.</v>
      </c>
      <c r="C36" s="1" t="s">
        <v>57</v>
      </c>
      <c r="F36" s="1" t="s">
        <v>77</v>
      </c>
      <c r="H36" s="1" t="s">
        <v>38</v>
      </c>
      <c r="I36" s="1" t="str">
        <f t="shared" si="1"/>
        <v>DB201.2</v>
      </c>
      <c r="J36" s="1" t="s">
        <v>22</v>
      </c>
      <c r="K36" s="1">
        <v>201</v>
      </c>
      <c r="L36" s="1">
        <v>2</v>
      </c>
      <c r="O36" s="1" t="s">
        <v>49</v>
      </c>
      <c r="P36" s="1" t="str">
        <f t="shared" si="2"/>
        <v/>
      </c>
      <c r="Q36" s="1" t="s">
        <v>24</v>
      </c>
      <c r="R36" s="1" t="s">
        <v>56</v>
      </c>
    </row>
    <row r="37" spans="1:18">
      <c r="A37" s="1" t="str">
        <f t="shared" si="0"/>
        <v>CZJ01.</v>
      </c>
      <c r="C37" s="1" t="s">
        <v>57</v>
      </c>
      <c r="F37" s="1" t="s">
        <v>78</v>
      </c>
      <c r="H37" s="1" t="s">
        <v>38</v>
      </c>
      <c r="I37" s="1" t="str">
        <f t="shared" si="1"/>
        <v>DB201.4</v>
      </c>
      <c r="J37" s="1" t="s">
        <v>22</v>
      </c>
      <c r="K37" s="1">
        <v>201</v>
      </c>
      <c r="L37" s="1">
        <v>4</v>
      </c>
      <c r="O37" s="1" t="s">
        <v>49</v>
      </c>
      <c r="P37" s="1" t="str">
        <f t="shared" si="2"/>
        <v/>
      </c>
      <c r="Q37" s="1" t="s">
        <v>24</v>
      </c>
      <c r="R37" s="1" t="s">
        <v>56</v>
      </c>
    </row>
    <row r="38" spans="1:18">
      <c r="A38" s="1" t="str">
        <f t="shared" si="0"/>
        <v>CZJ01.</v>
      </c>
      <c r="C38" s="1" t="s">
        <v>57</v>
      </c>
      <c r="F38" s="1" t="s">
        <v>79</v>
      </c>
      <c r="H38" s="1" t="s">
        <v>38</v>
      </c>
      <c r="I38" s="1" t="str">
        <f t="shared" si="1"/>
        <v>DB201.6</v>
      </c>
      <c r="J38" s="1" t="s">
        <v>22</v>
      </c>
      <c r="K38" s="1">
        <v>201</v>
      </c>
      <c r="L38" s="1">
        <v>6</v>
      </c>
      <c r="O38" s="1" t="s">
        <v>49</v>
      </c>
      <c r="P38" s="1" t="str">
        <f t="shared" si="2"/>
        <v/>
      </c>
      <c r="Q38" s="1" t="s">
        <v>24</v>
      </c>
      <c r="R38" s="1" t="s">
        <v>56</v>
      </c>
    </row>
    <row r="39" spans="1:18">
      <c r="A39" s="1" t="str">
        <f t="shared" si="0"/>
        <v>PMJ01.</v>
      </c>
      <c r="C39" s="1" t="s">
        <v>61</v>
      </c>
      <c r="F39" s="1" t="s">
        <v>80</v>
      </c>
      <c r="H39" s="1" t="s">
        <v>38</v>
      </c>
      <c r="I39" s="1" t="str">
        <f t="shared" si="1"/>
        <v>DB201.28</v>
      </c>
      <c r="J39" s="1" t="s">
        <v>22</v>
      </c>
      <c r="K39" s="1">
        <v>201</v>
      </c>
      <c r="L39" s="1">
        <v>28</v>
      </c>
      <c r="O39" s="1" t="s">
        <v>49</v>
      </c>
      <c r="P39" s="1" t="str">
        <f t="shared" si="2"/>
        <v/>
      </c>
      <c r="Q39" s="1" t="s">
        <v>24</v>
      </c>
      <c r="R39" s="1" t="s">
        <v>56</v>
      </c>
    </row>
    <row r="40" spans="1:18">
      <c r="A40" s="1" t="str">
        <f t="shared" si="0"/>
        <v>PMJ01.</v>
      </c>
      <c r="C40" s="1" t="s">
        <v>61</v>
      </c>
      <c r="D40" s="2"/>
      <c r="E40" s="2"/>
      <c r="F40" s="2" t="s">
        <v>81</v>
      </c>
      <c r="H40" s="2" t="s">
        <v>38</v>
      </c>
      <c r="I40" s="1" t="str">
        <f t="shared" si="1"/>
        <v>DB201.20</v>
      </c>
      <c r="J40" s="1" t="s">
        <v>22</v>
      </c>
      <c r="K40" s="2">
        <v>201</v>
      </c>
      <c r="L40" s="2">
        <v>20</v>
      </c>
      <c r="O40" s="1" t="s">
        <v>49</v>
      </c>
      <c r="P40" s="1" t="str">
        <f t="shared" si="2"/>
        <v/>
      </c>
      <c r="Q40" s="1" t="s">
        <v>24</v>
      </c>
      <c r="R40" s="2" t="s">
        <v>56</v>
      </c>
    </row>
    <row r="41" spans="1:18">
      <c r="A41" s="1" t="str">
        <f t="shared" si="0"/>
        <v>PMJ01.</v>
      </c>
      <c r="C41" s="1" t="s">
        <v>61</v>
      </c>
      <c r="F41" s="1" t="s">
        <v>79</v>
      </c>
      <c r="H41" s="1" t="s">
        <v>38</v>
      </c>
      <c r="I41" s="1" t="str">
        <f t="shared" si="1"/>
        <v>DB201.32</v>
      </c>
      <c r="J41" s="1" t="s">
        <v>22</v>
      </c>
      <c r="K41" s="1">
        <v>201</v>
      </c>
      <c r="L41" s="1">
        <v>32</v>
      </c>
      <c r="O41" s="1" t="s">
        <v>49</v>
      </c>
      <c r="P41" s="1" t="str">
        <f t="shared" si="2"/>
        <v/>
      </c>
      <c r="Q41" s="1" t="s">
        <v>24</v>
      </c>
      <c r="R41" s="1" t="s">
        <v>56</v>
      </c>
    </row>
    <row r="42" spans="1:18">
      <c r="A42" s="1" t="str">
        <f t="shared" si="0"/>
        <v>PMJ02.</v>
      </c>
      <c r="C42" s="1" t="s">
        <v>64</v>
      </c>
      <c r="F42" s="1" t="s">
        <v>80</v>
      </c>
      <c r="H42" s="1" t="s">
        <v>38</v>
      </c>
      <c r="I42" s="1" t="str">
        <f t="shared" si="1"/>
        <v>DB201.34</v>
      </c>
      <c r="J42" s="1" t="s">
        <v>22</v>
      </c>
      <c r="K42" s="1">
        <v>201</v>
      </c>
      <c r="L42" s="1">
        <v>34</v>
      </c>
      <c r="O42" s="1" t="s">
        <v>49</v>
      </c>
      <c r="P42" s="1" t="str">
        <f t="shared" si="2"/>
        <v/>
      </c>
      <c r="Q42" s="1" t="s">
        <v>24</v>
      </c>
      <c r="R42" s="1" t="s">
        <v>56</v>
      </c>
    </row>
    <row r="43" spans="1:18">
      <c r="A43" s="1" t="str">
        <f t="shared" si="0"/>
        <v>MDJ01.</v>
      </c>
      <c r="C43" s="1" t="s">
        <v>65</v>
      </c>
      <c r="F43" s="1" t="s">
        <v>82</v>
      </c>
      <c r="H43" s="1" t="s">
        <v>38</v>
      </c>
      <c r="I43" s="1" t="str">
        <f t="shared" si="1"/>
        <v>DB201.54</v>
      </c>
      <c r="J43" s="1" t="s">
        <v>22</v>
      </c>
      <c r="K43" s="1">
        <v>201</v>
      </c>
      <c r="L43" s="1">
        <v>54</v>
      </c>
      <c r="O43" s="1" t="s">
        <v>49</v>
      </c>
      <c r="P43" s="1" t="str">
        <f t="shared" si="2"/>
        <v/>
      </c>
      <c r="Q43" s="1" t="s">
        <v>24</v>
      </c>
      <c r="R43" s="1" t="s">
        <v>56</v>
      </c>
    </row>
    <row r="44" spans="1:18">
      <c r="A44" s="1" t="str">
        <f t="shared" si="0"/>
        <v>MDJ01.</v>
      </c>
      <c r="C44" s="1" t="s">
        <v>65</v>
      </c>
      <c r="F44" s="1" t="s">
        <v>83</v>
      </c>
      <c r="H44" s="1" t="s">
        <v>38</v>
      </c>
      <c r="I44" s="1" t="str">
        <f t="shared" si="1"/>
        <v>DB201.56</v>
      </c>
      <c r="J44" s="1" t="s">
        <v>22</v>
      </c>
      <c r="K44" s="1">
        <v>201</v>
      </c>
      <c r="L44" s="1">
        <v>56</v>
      </c>
      <c r="O44" s="1" t="s">
        <v>49</v>
      </c>
      <c r="P44" s="1" t="str">
        <f t="shared" si="2"/>
        <v/>
      </c>
      <c r="Q44" s="1" t="s">
        <v>24</v>
      </c>
      <c r="R44" s="1" t="s">
        <v>56</v>
      </c>
    </row>
    <row r="45" spans="1:18">
      <c r="A45" s="1" t="str">
        <f t="shared" si="0"/>
        <v>MDJ01.</v>
      </c>
      <c r="C45" s="1" t="s">
        <v>65</v>
      </c>
      <c r="F45" s="1" t="s">
        <v>84</v>
      </c>
      <c r="H45" s="1" t="s">
        <v>38</v>
      </c>
      <c r="I45" s="1" t="str">
        <f t="shared" si="1"/>
        <v>DB201.78</v>
      </c>
      <c r="J45" s="1" t="s">
        <v>22</v>
      </c>
      <c r="K45" s="1">
        <v>201</v>
      </c>
      <c r="L45" s="1">
        <v>78</v>
      </c>
      <c r="O45" s="1" t="s">
        <v>49</v>
      </c>
      <c r="P45" s="1" t="str">
        <f t="shared" si="2"/>
        <v/>
      </c>
      <c r="Q45" s="1" t="s">
        <v>24</v>
      </c>
      <c r="R45" s="1" t="s">
        <v>56</v>
      </c>
    </row>
    <row r="46" spans="1:18">
      <c r="A46" s="1" t="str">
        <f t="shared" si="0"/>
        <v>MDJ01.</v>
      </c>
      <c r="C46" s="1" t="s">
        <v>65</v>
      </c>
      <c r="F46" s="1" t="s">
        <v>85</v>
      </c>
      <c r="H46" s="1" t="s">
        <v>38</v>
      </c>
      <c r="I46" s="1" t="str">
        <f t="shared" si="1"/>
        <v>DB201.80</v>
      </c>
      <c r="J46" s="1" t="s">
        <v>22</v>
      </c>
      <c r="K46" s="1">
        <v>201</v>
      </c>
      <c r="L46" s="1">
        <v>80</v>
      </c>
      <c r="O46" s="1" t="s">
        <v>49</v>
      </c>
      <c r="P46" s="1" t="str">
        <f t="shared" si="2"/>
        <v/>
      </c>
      <c r="Q46" s="1" t="s">
        <v>24</v>
      </c>
      <c r="R46" s="1" t="s">
        <v>56</v>
      </c>
    </row>
    <row r="47" spans="1:18">
      <c r="A47" s="1" t="str">
        <f t="shared" si="0"/>
        <v>TBJ01.</v>
      </c>
      <c r="C47" s="1" t="s">
        <v>72</v>
      </c>
      <c r="F47" s="1" t="s">
        <v>86</v>
      </c>
      <c r="H47" s="1" t="s">
        <v>38</v>
      </c>
      <c r="I47" s="1" t="str">
        <f t="shared" si="1"/>
        <v>DB201.102</v>
      </c>
      <c r="J47" s="1" t="s">
        <v>22</v>
      </c>
      <c r="K47" s="1">
        <v>201</v>
      </c>
      <c r="L47" s="1">
        <v>102</v>
      </c>
      <c r="O47" s="1" t="s">
        <v>49</v>
      </c>
      <c r="P47" s="1" t="str">
        <f t="shared" si="2"/>
        <v/>
      </c>
      <c r="Q47" s="1" t="s">
        <v>24</v>
      </c>
      <c r="R47" s="1" t="s">
        <v>56</v>
      </c>
    </row>
    <row r="48" spans="1:18">
      <c r="A48" s="1" t="str">
        <f t="shared" si="0"/>
        <v>TBJ01.</v>
      </c>
      <c r="C48" s="1" t="s">
        <v>72</v>
      </c>
      <c r="F48" s="1" t="s">
        <v>87</v>
      </c>
      <c r="H48" s="1" t="s">
        <v>38</v>
      </c>
      <c r="I48" s="1" t="str">
        <f t="shared" si="1"/>
        <v>DB201.104</v>
      </c>
      <c r="J48" s="1" t="s">
        <v>22</v>
      </c>
      <c r="K48" s="1">
        <v>201</v>
      </c>
      <c r="L48" s="1">
        <v>104</v>
      </c>
      <c r="O48" s="1" t="s">
        <v>49</v>
      </c>
      <c r="P48" s="1" t="str">
        <f t="shared" si="2"/>
        <v/>
      </c>
      <c r="Q48" s="1" t="s">
        <v>24</v>
      </c>
      <c r="R48" s="1" t="s">
        <v>56</v>
      </c>
    </row>
  </sheetData>
  <pageMargins left="0.7" right="0.7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tags</vt:lpstr>
      <vt:lpstr>RAW</vt:lpstr>
      <vt:lpstr>RAW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StephenShi</cp:lastModifiedBy>
  <dcterms:created xsi:type="dcterms:W3CDTF">2025-04-17T08:18:00Z</dcterms:created>
  <dcterms:modified xsi:type="dcterms:W3CDTF">2025-12-19T15:55:18Z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37575C1A2FBA4C53AF52EBBA77B09B0E_12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