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Code\demo\UpperDemo\src\Plant01.Upper.Infrastructure\Configs\"/>
    </mc:Choice>
  </mc:AlternateContent>
  <xr:revisionPtr revIDLastSave="0" documentId="13_ncr:1_{525F776B-5D45-4F77-AF39-8BC93719E55E}" xr6:coauthVersionLast="47" xr6:coauthVersionMax="47" xr10:uidLastSave="{00000000-0000-0000-0000-000000000000}"/>
  <bookViews>
    <workbookView xWindow="-120" yWindow="-120" windowWidth="29040" windowHeight="15720" xr2:uid="{2385EA93-93B8-4DE4-B674-3B49ACE6EACA}"/>
  </bookViews>
  <sheets>
    <sheet name="tags" sheetId="1" r:id="rId1"/>
    <sheet name="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2" i="2"/>
  <c r="M3" i="2"/>
  <c r="M4" i="2"/>
  <c r="M5" i="2"/>
  <c r="M6" i="2"/>
  <c r="P64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B58" i="2"/>
  <c r="B57" i="2"/>
  <c r="B55" i="2"/>
  <c r="B54" i="2"/>
  <c r="B51" i="2"/>
  <c r="B50" i="2"/>
  <c r="B49" i="2"/>
  <c r="B42" i="2"/>
  <c r="B41" i="2"/>
  <c r="B39" i="2"/>
  <c r="B38" i="2"/>
  <c r="B34" i="2"/>
  <c r="B33" i="2"/>
  <c r="B26" i="2"/>
  <c r="B25" i="2"/>
  <c r="B23" i="2"/>
  <c r="B22" i="2"/>
  <c r="B19" i="2"/>
  <c r="B18" i="2"/>
  <c r="B17" i="2"/>
  <c r="B10" i="2"/>
  <c r="B9" i="2"/>
  <c r="B7" i="2"/>
  <c r="B6" i="2"/>
  <c r="B4" i="2"/>
  <c r="B3" i="2"/>
  <c r="B2" i="2"/>
  <c r="B5" i="2"/>
  <c r="B8" i="2"/>
  <c r="B11" i="2"/>
  <c r="B12" i="2"/>
  <c r="B13" i="2"/>
  <c r="B14" i="2"/>
  <c r="B15" i="2"/>
  <c r="B16" i="2"/>
  <c r="B20" i="2"/>
  <c r="B21" i="2"/>
  <c r="B24" i="2"/>
  <c r="B27" i="2"/>
  <c r="B28" i="2"/>
  <c r="B29" i="2"/>
  <c r="B30" i="2"/>
  <c r="B31" i="2"/>
  <c r="B32" i="2"/>
  <c r="B35" i="2"/>
  <c r="B36" i="2"/>
  <c r="B37" i="2"/>
  <c r="B40" i="2"/>
  <c r="B43" i="2"/>
  <c r="B44" i="2"/>
  <c r="B45" i="2"/>
  <c r="B46" i="2"/>
  <c r="B47" i="2"/>
  <c r="B48" i="2"/>
  <c r="B52" i="2"/>
  <c r="B53" i="2"/>
  <c r="B56" i="2"/>
  <c r="B59" i="2"/>
  <c r="B60" i="2"/>
  <c r="B61" i="2"/>
  <c r="B62" i="2"/>
  <c r="B63" i="2"/>
  <c r="B64" i="2"/>
  <c r="H2" i="2"/>
</calcChain>
</file>

<file path=xl/sharedStrings.xml><?xml version="1.0" encoding="utf-8"?>
<sst xmlns="http://schemas.openxmlformats.org/spreadsheetml/2006/main" count="1148" uniqueCount="247">
  <si>
    <t>Name</t>
  </si>
  <si>
    <t>Description</t>
  </si>
  <si>
    <t>Address</t>
  </si>
  <si>
    <t>DataType</t>
  </si>
  <si>
    <t>DriverCode</t>
  </si>
  <si>
    <t>PLC01</t>
  </si>
  <si>
    <t>存储区</t>
    <phoneticPr fontId="18" type="noConversion"/>
  </si>
  <si>
    <t>DB</t>
    <phoneticPr fontId="18" type="noConversion"/>
  </si>
  <si>
    <t>地址</t>
    <phoneticPr fontId="18" type="noConversion"/>
  </si>
  <si>
    <t>GroupId</t>
    <phoneticPr fontId="18" type="noConversion"/>
  </si>
  <si>
    <t>Offset</t>
    <phoneticPr fontId="18" type="noConversion"/>
  </si>
  <si>
    <t>SN</t>
    <phoneticPr fontId="18" type="noConversion"/>
  </si>
  <si>
    <t>DeviceCode</t>
    <phoneticPr fontId="18" type="noConversion"/>
  </si>
  <si>
    <t>SDJ02</t>
  </si>
  <si>
    <t>PMJ01</t>
  </si>
  <si>
    <t>READONLY</t>
    <phoneticPr fontId="18" type="noConversion"/>
  </si>
  <si>
    <t>DeviceName</t>
  </si>
  <si>
    <t>DeviceName</t>
    <phoneticPr fontId="18" type="noConversion"/>
  </si>
  <si>
    <t>上袋机01</t>
  </si>
  <si>
    <t>上袋机02</t>
  </si>
  <si>
    <t>SN</t>
  </si>
  <si>
    <t>DeviceCode</t>
  </si>
  <si>
    <t>GroupId</t>
  </si>
  <si>
    <t>Offset</t>
  </si>
  <si>
    <t>SDJ01</t>
  </si>
  <si>
    <t>HeartBreak</t>
  </si>
  <si>
    <t>心跳</t>
  </si>
  <si>
    <t>WRITEONLY</t>
    <phoneticPr fontId="18" type="noConversion"/>
  </si>
  <si>
    <t>IsMonitor</t>
    <phoneticPr fontId="18" type="noConversion"/>
  </si>
  <si>
    <t>BitOffset</t>
  </si>
  <si>
    <t>BitOffset</t>
    <phoneticPr fontId="18" type="noConversion"/>
  </si>
  <si>
    <t>CnName</t>
  </si>
  <si>
    <t>CnName</t>
    <phoneticPr fontId="18" type="noConversion"/>
  </si>
  <si>
    <t>Length</t>
  </si>
  <si>
    <t>Length</t>
    <phoneticPr fontId="18" type="noConversion"/>
  </si>
  <si>
    <t>TagName</t>
  </si>
  <si>
    <t>TagName</t>
    <phoneticPr fontId="18" type="noConversion"/>
  </si>
  <si>
    <t>RW</t>
  </si>
  <si>
    <t>RW</t>
    <phoneticPr fontId="18" type="noConversion"/>
  </si>
  <si>
    <t>IsMonitor</t>
  </si>
  <si>
    <t>READONLY</t>
  </si>
  <si>
    <t>WRITEONLY</t>
  </si>
  <si>
    <t>MDJ01</t>
  </si>
  <si>
    <t>原始类型</t>
    <phoneticPr fontId="18" type="noConversion"/>
  </si>
  <si>
    <t>取袋读码完成</t>
  </si>
  <si>
    <t>称重机允许读码</t>
  </si>
  <si>
    <t>称重机当前袋码</t>
  </si>
  <si>
    <t>称重机当前重量</t>
  </si>
  <si>
    <t>喷码机允许读码</t>
    <phoneticPr fontId="18" type="noConversion"/>
  </si>
  <si>
    <t>喷码机当前袋码</t>
    <phoneticPr fontId="18" type="noConversion"/>
  </si>
  <si>
    <t>码垛机允许读码</t>
    <phoneticPr fontId="18" type="noConversion"/>
  </si>
  <si>
    <t>码垛机当前袋码</t>
    <phoneticPr fontId="18" type="noConversion"/>
  </si>
  <si>
    <t>C2码垛位实时数量</t>
  </si>
  <si>
    <t>C3码垛位实时数量</t>
  </si>
  <si>
    <t>C2码垛位出托申请</t>
  </si>
  <si>
    <t>C3码垛位出托申请</t>
  </si>
  <si>
    <t>贴标机允许读码</t>
  </si>
  <si>
    <t>贴标机当前袋码</t>
  </si>
  <si>
    <t>贴标机当前状态</t>
    <phoneticPr fontId="18" type="noConversion"/>
  </si>
  <si>
    <t>称重机读码完成</t>
    <phoneticPr fontId="18" type="noConversion"/>
  </si>
  <si>
    <t>称重机重量是否合格</t>
    <phoneticPr fontId="18" type="noConversion"/>
  </si>
  <si>
    <t>码垛位</t>
    <phoneticPr fontId="18" type="noConversion"/>
  </si>
  <si>
    <t>喷码机读码完成</t>
    <phoneticPr fontId="18" type="noConversion"/>
  </si>
  <si>
    <t>喷码机重量是否合格</t>
    <phoneticPr fontId="18" type="noConversion"/>
  </si>
  <si>
    <t>码垛机读码完成</t>
    <phoneticPr fontId="18" type="noConversion"/>
  </si>
  <si>
    <t>码垛机码垛位</t>
    <phoneticPr fontId="18" type="noConversion"/>
  </si>
  <si>
    <t>码垛机C2码垛位允许出托</t>
    <phoneticPr fontId="18" type="noConversion"/>
  </si>
  <si>
    <t>码垛机C3码垛位允许出托</t>
  </si>
  <si>
    <t>贴标机读码完成</t>
    <phoneticPr fontId="18" type="noConversion"/>
  </si>
  <si>
    <t>贴标机允许出托</t>
    <phoneticPr fontId="18" type="noConversion"/>
  </si>
  <si>
    <t>取袋允许读码</t>
  </si>
  <si>
    <t>取袋当前袋码</t>
  </si>
  <si>
    <t>套袋允许读码</t>
  </si>
  <si>
    <t>套袋当前袋码</t>
  </si>
  <si>
    <t>套袋包装机编号</t>
  </si>
  <si>
    <t>套袋状态</t>
  </si>
  <si>
    <t>取袋包装机编号</t>
  </si>
  <si>
    <t>包装机时间</t>
  </si>
  <si>
    <t>包装机重量</t>
  </si>
  <si>
    <t>套袋读码完成</t>
  </si>
  <si>
    <t>取包读码完成</t>
  </si>
  <si>
    <t>BOOL</t>
  </si>
  <si>
    <t>STRING</t>
  </si>
  <si>
    <t>INT</t>
    <phoneticPr fontId="18" type="noConversion"/>
  </si>
  <si>
    <t>FLOAT</t>
  </si>
  <si>
    <t>BOOL</t>
    <phoneticPr fontId="18" type="noConversion"/>
  </si>
  <si>
    <t>STRING</t>
    <phoneticPr fontId="18" type="noConversion"/>
  </si>
  <si>
    <t>PLC02</t>
  </si>
  <si>
    <t>PLC03</t>
  </si>
  <si>
    <t>PLC03</t>
    <phoneticPr fontId="18" type="noConversion"/>
  </si>
  <si>
    <t>BZJ01</t>
  </si>
  <si>
    <t>SS</t>
  </si>
  <si>
    <t>CZJ01</t>
  </si>
  <si>
    <t>PMJ02</t>
  </si>
  <si>
    <t>TBJ01</t>
  </si>
  <si>
    <t>ReadBagPickerCodeEnabled</t>
  </si>
  <si>
    <t>CurrentBagPickerCode</t>
  </si>
  <si>
    <t>ReadBaggingCodeEnabled</t>
  </si>
  <si>
    <t>CurrentBaggingCode</t>
  </si>
  <si>
    <t>CurrentBaggingNo</t>
  </si>
  <si>
    <t>BaggingStatus</t>
  </si>
  <si>
    <t>ReadBagTakeCodeEnable</t>
  </si>
  <si>
    <t>CurrentBagTakeCode</t>
  </si>
  <si>
    <t>CurrentBagTakeNo</t>
  </si>
  <si>
    <t>PackageTime</t>
  </si>
  <si>
    <t>PackageWeight</t>
  </si>
  <si>
    <t>HeartBreakWrite</t>
  </si>
  <si>
    <t>BagPickerCodeReaded</t>
  </si>
  <si>
    <t>BaggingCodeReaded</t>
  </si>
  <si>
    <t>BagTakeCodeReaded</t>
  </si>
  <si>
    <t>ReadBagCodeEnabled</t>
  </si>
  <si>
    <t>CurrentBagCode</t>
  </si>
  <si>
    <t>BagWeight</t>
  </si>
  <si>
    <t>PalletBagCountA</t>
  </si>
  <si>
    <t>PalletBagCountB</t>
  </si>
  <si>
    <t>PalletOutApplyA</t>
  </si>
  <si>
    <t>PalletOutApplyB</t>
  </si>
  <si>
    <t>LabelPrinted</t>
  </si>
  <si>
    <t>BagCodeReaded</t>
  </si>
  <si>
    <t>IsPass</t>
  </si>
  <si>
    <t>PalletPosition</t>
  </si>
  <si>
    <t>PalletOutAllowedA</t>
  </si>
  <si>
    <t>PalletOutAllowedB</t>
  </si>
  <si>
    <t>PalletOutAllowed</t>
  </si>
  <si>
    <t>心跳</t>
    <phoneticPr fontId="18" type="noConversion"/>
  </si>
  <si>
    <t>取袋允许读码</t>
    <phoneticPr fontId="18" type="noConversion"/>
  </si>
  <si>
    <t>BZJ01.HeartBreak</t>
  </si>
  <si>
    <t>DB200.0</t>
  </si>
  <si>
    <t/>
  </si>
  <si>
    <t>SDJ01.ReadBagPickerCodeEnabled</t>
  </si>
  <si>
    <t>DB200.2</t>
  </si>
  <si>
    <t>SDJ01.CurrentBagPickerCode</t>
  </si>
  <si>
    <t>DB200.4</t>
  </si>
  <si>
    <t>SDJ01.ReadBaggingCodeEnabled</t>
  </si>
  <si>
    <t>DB200.90</t>
  </si>
  <si>
    <t>SDJ01.CurrentBaggingCode</t>
  </si>
  <si>
    <t>DB200.92</t>
  </si>
  <si>
    <t>SDJ01.CurrentBaggingNo</t>
  </si>
  <si>
    <t>DB200.158</t>
  </si>
  <si>
    <t>INT</t>
  </si>
  <si>
    <t>SDJ01.BaggingStatus</t>
  </si>
  <si>
    <t>DB200.160</t>
  </si>
  <si>
    <t>SDJ01.ReadBagTakeCodeEnable</t>
  </si>
  <si>
    <t>DB200.182</t>
  </si>
  <si>
    <t>SDJ01.CurrentBagTakeCode</t>
  </si>
  <si>
    <t>DB200.184</t>
  </si>
  <si>
    <t>SDJ01.CurrentBagTakeNo</t>
  </si>
  <si>
    <t>DB200.250</t>
  </si>
  <si>
    <t>SDJ01.PackageTime</t>
  </si>
  <si>
    <t>DB200.252</t>
  </si>
  <si>
    <t>SDJ01.PackageWeight</t>
  </si>
  <si>
    <t>DB200.254</t>
  </si>
  <si>
    <t>SDJ01.HeartBreakWrite</t>
  </si>
  <si>
    <t>DB201.0</t>
  </si>
  <si>
    <t>SDJ01.BagPickerCodeReaded</t>
  </si>
  <si>
    <t>DB201.2</t>
  </si>
  <si>
    <t>SDJ01.BaggingCodeReaded</t>
  </si>
  <si>
    <t>DB201.24</t>
  </si>
  <si>
    <t>SDJ01.BagTakeCodeReaded</t>
  </si>
  <si>
    <t>DB201.46</t>
  </si>
  <si>
    <t>SDJ02.HeartBreak</t>
  </si>
  <si>
    <t>SDJ02.ReadBagPickerCodeEnabled</t>
  </si>
  <si>
    <t>SDJ02.CurrentBagPickerCode</t>
  </si>
  <si>
    <t>SDJ02.ReadBaggingCodeEnabled</t>
  </si>
  <si>
    <t>SDJ02.CurrentBaggingCode</t>
  </si>
  <si>
    <t>SDJ02.CurrentBaggingNo</t>
  </si>
  <si>
    <t>SDJ02.BaggingStatus</t>
  </si>
  <si>
    <t>SDJ02.ReadBagTakeCodeEnable</t>
  </si>
  <si>
    <t>SDJ02.CurrentBagTakeCode</t>
  </si>
  <si>
    <t>SDJ02.CurrentBagTakeNo</t>
  </si>
  <si>
    <t>SDJ02.PackageTime</t>
  </si>
  <si>
    <t>SDJ02.PackageWeight</t>
  </si>
  <si>
    <t>SDJ02.HeartBreakWrite</t>
  </si>
  <si>
    <t>SDJ02.BagPickerCodeReaded</t>
  </si>
  <si>
    <t>SDJ02.BaggingCodeReaded</t>
  </si>
  <si>
    <t>SDJ02.BagTakeCodeReaded</t>
  </si>
  <si>
    <t>SS.HeartBreak</t>
  </si>
  <si>
    <t>CZJ01.ReadBagCodeEnabled</t>
  </si>
  <si>
    <t>CZJ01.CurrentBagCode</t>
  </si>
  <si>
    <t>CZJ01.BagWeight</t>
  </si>
  <si>
    <t>DB200.70</t>
  </si>
  <si>
    <t>PMJ01.ReadBagCodeEnabled</t>
  </si>
  <si>
    <t>喷码机允许读码</t>
  </si>
  <si>
    <t>DB200.94</t>
  </si>
  <si>
    <t>PMJ01.CurrentBagCode</t>
  </si>
  <si>
    <t>喷码机当前袋码</t>
  </si>
  <si>
    <t>DB200.96</t>
  </si>
  <si>
    <t>PMJ02.ReadBagCodeEnabled</t>
  </si>
  <si>
    <t>PMJ02.CurrentBagCode</t>
  </si>
  <si>
    <t>MDJ01.ReadBagCodeEnabled</t>
  </si>
  <si>
    <t>码垛机允许读码</t>
  </si>
  <si>
    <t>DB200.270</t>
  </si>
  <si>
    <t>MDJ01.CurrentBagCode</t>
  </si>
  <si>
    <t>码垛机当前袋码</t>
  </si>
  <si>
    <t>DB200.272</t>
  </si>
  <si>
    <t>MDJ01.PalletBagCountA</t>
  </si>
  <si>
    <t>DB200.358</t>
  </si>
  <si>
    <t>MDJ01.PalletBagCountB</t>
  </si>
  <si>
    <t>DB200.360</t>
  </si>
  <si>
    <t>MDJ01.PalletOutApplyA</t>
  </si>
  <si>
    <t>DB200.362</t>
  </si>
  <si>
    <t>MDJ01.PalletOutApplyB</t>
  </si>
  <si>
    <t>DB200.364</t>
  </si>
  <si>
    <t>TBJ01.ReadBagCodeEnabled</t>
  </si>
  <si>
    <t>DB200.386</t>
  </si>
  <si>
    <t>TBJ01.CurrentBagCode</t>
  </si>
  <si>
    <t>DB200.388</t>
  </si>
  <si>
    <t>TBJ01.LabelPrinted</t>
  </si>
  <si>
    <t>贴标机当前状态</t>
  </si>
  <si>
    <t>DB200.454</t>
  </si>
  <si>
    <t>SS.HeartBreakWrite</t>
  </si>
  <si>
    <t>CZJ01.BagCodeReaded</t>
  </si>
  <si>
    <t>称重机读码完成</t>
  </si>
  <si>
    <t>CZJ01.IsPass</t>
  </si>
  <si>
    <t>称重机重量是否合格</t>
  </si>
  <si>
    <t>DB201.4</t>
  </si>
  <si>
    <t>CZJ01.PalletPosition</t>
  </si>
  <si>
    <t>码垛位</t>
  </si>
  <si>
    <t>DB201.6</t>
  </si>
  <si>
    <t>PMJ01.BagCodeReaded</t>
  </si>
  <si>
    <t>喷码机读码完成</t>
  </si>
  <si>
    <t>DB201.28</t>
  </si>
  <si>
    <t>PMJ01.IsPass</t>
  </si>
  <si>
    <t>喷码机重量是否合格</t>
  </si>
  <si>
    <t>DB201.20</t>
  </si>
  <si>
    <t>PMJ01.PalletPosition</t>
  </si>
  <si>
    <t>DB201.32</t>
  </si>
  <si>
    <t>PMJ02.BagCodeReaded</t>
  </si>
  <si>
    <t>DB201.34</t>
  </si>
  <si>
    <t>MDJ01.BagCodeReaded</t>
  </si>
  <si>
    <t>码垛机读码完成</t>
  </si>
  <si>
    <t>DB201.54</t>
  </si>
  <si>
    <t>MDJ01.PalletPosition</t>
  </si>
  <si>
    <t>码垛机码垛位</t>
  </si>
  <si>
    <t>DB201.56</t>
  </si>
  <si>
    <t>MDJ01.PalletOutAllowedA</t>
  </si>
  <si>
    <t>码垛机C2码垛位允许出托</t>
  </si>
  <si>
    <t>DB201.78</t>
  </si>
  <si>
    <t>MDJ01.PalletOutAllowedB</t>
  </si>
  <si>
    <t>DB201.80</t>
  </si>
  <si>
    <t>TBJ01.BagCodeReaded</t>
  </si>
  <si>
    <t>贴标机读码完成</t>
  </si>
  <si>
    <t>DB201.102</t>
  </si>
  <si>
    <t>TBJ01.PalletOutAllowed</t>
  </si>
  <si>
    <t>贴标机允许出托</t>
  </si>
  <si>
    <t>DB201.104</t>
  </si>
  <si>
    <t>ChannelCode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</si>
</sst>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trike/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7F53-EF21-4F04-A2D2-850C0184C8F1}">
  <dimension ref="A1:P64"/>
  <sheetViews>
    <sheetView tabSelected="1" workbookViewId="0">
      <selection activeCell="D16" sqref="D16"/>
    </sheetView>
  </sheetViews>
  <sheetFormatPr defaultRowHeight="14.25"/>
  <cols>
    <col min="1" max="1" width="3.875" style="1" bestFit="1" customWidth="1"/>
    <col min="2" max="2" width="32" bestFit="1" customWidth="1"/>
    <col min="3" max="3" width="11.375" bestFit="1" customWidth="1"/>
    <col min="4" max="4" width="26.25" bestFit="1" customWidth="1"/>
    <col min="5" max="5" width="12.125" bestFit="1" customWidth="1"/>
    <col min="6" max="6" width="16.25" bestFit="1" customWidth="1"/>
    <col min="7" max="7" width="10.625" bestFit="1" customWidth="1"/>
    <col min="8" max="8" width="13" customWidth="1"/>
    <col min="9" max="9" width="17.5" bestFit="1" customWidth="1"/>
    <col min="10" max="10" width="6.25" bestFit="1" customWidth="1"/>
    <col min="11" max="11" width="8.25" bestFit="1" customWidth="1"/>
    <col min="12" max="12" width="11.625" bestFit="1" customWidth="1"/>
    <col min="13" max="13" width="7.125" bestFit="1" customWidth="1"/>
    <col min="14" max="14" width="12.625" bestFit="1" customWidth="1"/>
    <col min="15" max="15" width="8.25" bestFit="1" customWidth="1"/>
    <col min="16" max="16" width="9.25" bestFit="1" customWidth="1"/>
  </cols>
  <sheetData>
    <row r="1" spans="1:16">
      <c r="A1" s="4" t="s">
        <v>20</v>
      </c>
      <c r="B1" s="4" t="s">
        <v>35</v>
      </c>
      <c r="C1" s="4" t="s">
        <v>21</v>
      </c>
      <c r="D1" s="4" t="s">
        <v>0</v>
      </c>
      <c r="E1" s="4" t="s">
        <v>16</v>
      </c>
      <c r="F1" s="4" t="s">
        <v>31</v>
      </c>
      <c r="G1" s="4" t="s">
        <v>1</v>
      </c>
      <c r="H1" s="4" t="s">
        <v>2</v>
      </c>
      <c r="I1" s="4" t="s">
        <v>3</v>
      </c>
      <c r="J1" s="4" t="s">
        <v>23</v>
      </c>
      <c r="K1" s="4" t="s">
        <v>29</v>
      </c>
      <c r="L1" s="4" t="s">
        <v>37</v>
      </c>
      <c r="M1" s="4" t="s">
        <v>33</v>
      </c>
      <c r="N1" s="4" t="s">
        <v>246</v>
      </c>
      <c r="O1" s="4" t="s">
        <v>22</v>
      </c>
      <c r="P1" s="4" t="s">
        <v>39</v>
      </c>
    </row>
    <row r="2" spans="1:16">
      <c r="A2" s="4">
        <v>1</v>
      </c>
      <c r="B2" s="4" t="s">
        <v>126</v>
      </c>
      <c r="C2" s="4" t="s">
        <v>90</v>
      </c>
      <c r="D2" s="4" t="s">
        <v>25</v>
      </c>
      <c r="E2" s="4" t="s">
        <v>18</v>
      </c>
      <c r="F2" s="4" t="s">
        <v>26</v>
      </c>
      <c r="G2" s="4"/>
      <c r="H2" s="4" t="s">
        <v>127</v>
      </c>
      <c r="I2" s="4" t="s">
        <v>81</v>
      </c>
      <c r="J2" s="4">
        <v>0</v>
      </c>
      <c r="K2" s="4"/>
      <c r="L2" s="4" t="s">
        <v>40</v>
      </c>
      <c r="M2" s="4" t="s">
        <v>128</v>
      </c>
      <c r="N2" s="4" t="s">
        <v>5</v>
      </c>
      <c r="O2" s="4">
        <v>1</v>
      </c>
      <c r="P2" s="4" t="s">
        <v>128</v>
      </c>
    </row>
    <row r="3" spans="1:16">
      <c r="A3" s="4">
        <v>2</v>
      </c>
      <c r="B3" s="4" t="s">
        <v>129</v>
      </c>
      <c r="C3" s="4" t="s">
        <v>24</v>
      </c>
      <c r="D3" s="4" t="s">
        <v>95</v>
      </c>
      <c r="E3" s="4" t="s">
        <v>18</v>
      </c>
      <c r="F3" s="4" t="s">
        <v>70</v>
      </c>
      <c r="G3" s="4"/>
      <c r="H3" s="4" t="s">
        <v>130</v>
      </c>
      <c r="I3" s="4" t="s">
        <v>81</v>
      </c>
      <c r="J3" s="4">
        <v>2</v>
      </c>
      <c r="K3" s="4"/>
      <c r="L3" s="4" t="s">
        <v>40</v>
      </c>
      <c r="M3" s="4" t="s">
        <v>128</v>
      </c>
      <c r="N3" s="4" t="s">
        <v>5</v>
      </c>
      <c r="O3" s="4">
        <v>1</v>
      </c>
      <c r="P3" s="4" t="b">
        <v>1</v>
      </c>
    </row>
    <row r="4" spans="1:16">
      <c r="A4" s="4">
        <v>3</v>
      </c>
      <c r="B4" s="4" t="s">
        <v>131</v>
      </c>
      <c r="C4" s="4" t="s">
        <v>24</v>
      </c>
      <c r="D4" s="4" t="s">
        <v>96</v>
      </c>
      <c r="E4" s="4" t="s">
        <v>18</v>
      </c>
      <c r="F4" s="4" t="s">
        <v>71</v>
      </c>
      <c r="G4" s="4"/>
      <c r="H4" s="4" t="s">
        <v>132</v>
      </c>
      <c r="I4" s="4" t="s">
        <v>82</v>
      </c>
      <c r="J4" s="4">
        <v>4</v>
      </c>
      <c r="K4" s="4"/>
      <c r="L4" s="4" t="s">
        <v>40</v>
      </c>
      <c r="M4" s="4">
        <v>64</v>
      </c>
      <c r="N4" s="4" t="s">
        <v>5</v>
      </c>
      <c r="O4" s="4">
        <v>1</v>
      </c>
      <c r="P4" s="4" t="s">
        <v>128</v>
      </c>
    </row>
    <row r="5" spans="1:16">
      <c r="A5" s="4">
        <v>4</v>
      </c>
      <c r="B5" s="4" t="s">
        <v>133</v>
      </c>
      <c r="C5" s="4" t="s">
        <v>24</v>
      </c>
      <c r="D5" s="4" t="s">
        <v>97</v>
      </c>
      <c r="E5" s="4" t="s">
        <v>18</v>
      </c>
      <c r="F5" s="4" t="s">
        <v>72</v>
      </c>
      <c r="G5" s="4"/>
      <c r="H5" s="4" t="s">
        <v>134</v>
      </c>
      <c r="I5" s="4" t="s">
        <v>81</v>
      </c>
      <c r="J5" s="4">
        <v>90</v>
      </c>
      <c r="K5" s="4"/>
      <c r="L5" s="4" t="s">
        <v>40</v>
      </c>
      <c r="M5" s="4" t="s">
        <v>128</v>
      </c>
      <c r="N5" s="4" t="s">
        <v>5</v>
      </c>
      <c r="O5" s="4">
        <v>1</v>
      </c>
      <c r="P5" s="4" t="b">
        <v>1</v>
      </c>
    </row>
    <row r="6" spans="1:16">
      <c r="A6" s="4">
        <v>5</v>
      </c>
      <c r="B6" s="4" t="s">
        <v>135</v>
      </c>
      <c r="C6" s="4" t="s">
        <v>24</v>
      </c>
      <c r="D6" s="4" t="s">
        <v>98</v>
      </c>
      <c r="E6" s="4" t="s">
        <v>18</v>
      </c>
      <c r="F6" s="4" t="s">
        <v>73</v>
      </c>
      <c r="G6" s="4"/>
      <c r="H6" s="4" t="s">
        <v>136</v>
      </c>
      <c r="I6" s="4" t="s">
        <v>82</v>
      </c>
      <c r="J6" s="4">
        <v>92</v>
      </c>
      <c r="K6" s="4"/>
      <c r="L6" s="4" t="s">
        <v>40</v>
      </c>
      <c r="M6" s="4">
        <v>64</v>
      </c>
      <c r="N6" s="4" t="s">
        <v>5</v>
      </c>
      <c r="O6" s="4">
        <v>1</v>
      </c>
      <c r="P6" s="4" t="s">
        <v>128</v>
      </c>
    </row>
    <row r="7" spans="1:16">
      <c r="A7" s="4">
        <v>6</v>
      </c>
      <c r="B7" s="4" t="s">
        <v>137</v>
      </c>
      <c r="C7" s="4" t="s">
        <v>24</v>
      </c>
      <c r="D7" s="4" t="s">
        <v>99</v>
      </c>
      <c r="E7" s="4" t="s">
        <v>18</v>
      </c>
      <c r="F7" s="4" t="s">
        <v>74</v>
      </c>
      <c r="G7" s="4"/>
      <c r="H7" s="4" t="s">
        <v>138</v>
      </c>
      <c r="I7" s="4" t="s">
        <v>139</v>
      </c>
      <c r="J7" s="4">
        <v>158</v>
      </c>
      <c r="K7" s="4"/>
      <c r="L7" s="4" t="s">
        <v>40</v>
      </c>
      <c r="M7" s="4" t="s">
        <v>128</v>
      </c>
      <c r="N7" s="4" t="s">
        <v>5</v>
      </c>
      <c r="O7" s="4">
        <v>1</v>
      </c>
      <c r="P7" s="4" t="s">
        <v>128</v>
      </c>
    </row>
    <row r="8" spans="1:16">
      <c r="A8" s="4">
        <v>7</v>
      </c>
      <c r="B8" s="4" t="s">
        <v>140</v>
      </c>
      <c r="C8" s="4" t="s">
        <v>24</v>
      </c>
      <c r="D8" s="4" t="s">
        <v>100</v>
      </c>
      <c r="E8" s="4" t="s">
        <v>18</v>
      </c>
      <c r="F8" s="4" t="s">
        <v>75</v>
      </c>
      <c r="G8" s="4"/>
      <c r="H8" s="4" t="s">
        <v>141</v>
      </c>
      <c r="I8" s="4" t="s">
        <v>139</v>
      </c>
      <c r="J8" s="4">
        <v>160</v>
      </c>
      <c r="K8" s="4"/>
      <c r="L8" s="4" t="s">
        <v>40</v>
      </c>
      <c r="M8" s="4" t="s">
        <v>128</v>
      </c>
      <c r="N8" s="4" t="s">
        <v>5</v>
      </c>
      <c r="O8" s="4">
        <v>1</v>
      </c>
      <c r="P8" s="4" t="s">
        <v>128</v>
      </c>
    </row>
    <row r="9" spans="1:16">
      <c r="A9" s="4">
        <v>8</v>
      </c>
      <c r="B9" s="4" t="s">
        <v>142</v>
      </c>
      <c r="C9" s="4" t="s">
        <v>24</v>
      </c>
      <c r="D9" s="4" t="s">
        <v>101</v>
      </c>
      <c r="E9" s="4" t="s">
        <v>18</v>
      </c>
      <c r="F9" s="4" t="s">
        <v>70</v>
      </c>
      <c r="G9" s="4"/>
      <c r="H9" s="4" t="s">
        <v>143</v>
      </c>
      <c r="I9" s="4" t="s">
        <v>81</v>
      </c>
      <c r="J9" s="4">
        <v>182</v>
      </c>
      <c r="K9" s="4"/>
      <c r="L9" s="4" t="s">
        <v>40</v>
      </c>
      <c r="M9" s="4" t="s">
        <v>128</v>
      </c>
      <c r="N9" s="4" t="s">
        <v>5</v>
      </c>
      <c r="O9" s="4">
        <v>1</v>
      </c>
      <c r="P9" s="4" t="b">
        <v>1</v>
      </c>
    </row>
    <row r="10" spans="1:16">
      <c r="A10" s="4">
        <v>9</v>
      </c>
      <c r="B10" s="4" t="s">
        <v>144</v>
      </c>
      <c r="C10" s="4" t="s">
        <v>24</v>
      </c>
      <c r="D10" s="4" t="s">
        <v>102</v>
      </c>
      <c r="E10" s="4" t="s">
        <v>18</v>
      </c>
      <c r="F10" s="4" t="s">
        <v>71</v>
      </c>
      <c r="G10" s="4"/>
      <c r="H10" s="4" t="s">
        <v>145</v>
      </c>
      <c r="I10" s="4" t="s">
        <v>82</v>
      </c>
      <c r="J10" s="4">
        <v>184</v>
      </c>
      <c r="K10" s="4"/>
      <c r="L10" s="4" t="s">
        <v>40</v>
      </c>
      <c r="M10" s="4">
        <v>64</v>
      </c>
      <c r="N10" s="4" t="s">
        <v>5</v>
      </c>
      <c r="O10" s="4">
        <v>1</v>
      </c>
      <c r="P10" s="4" t="s">
        <v>128</v>
      </c>
    </row>
    <row r="11" spans="1:16">
      <c r="A11" s="4">
        <v>10</v>
      </c>
      <c r="B11" s="4" t="s">
        <v>146</v>
      </c>
      <c r="C11" s="4" t="s">
        <v>24</v>
      </c>
      <c r="D11" s="4" t="s">
        <v>103</v>
      </c>
      <c r="E11" s="4" t="s">
        <v>18</v>
      </c>
      <c r="F11" s="4" t="s">
        <v>76</v>
      </c>
      <c r="G11" s="4"/>
      <c r="H11" s="4" t="s">
        <v>147</v>
      </c>
      <c r="I11" s="4" t="s">
        <v>139</v>
      </c>
      <c r="J11" s="4">
        <v>250</v>
      </c>
      <c r="K11" s="4"/>
      <c r="L11" s="4" t="s">
        <v>40</v>
      </c>
      <c r="M11" s="4" t="s">
        <v>128</v>
      </c>
      <c r="N11" s="4" t="s">
        <v>5</v>
      </c>
      <c r="O11" s="4">
        <v>1</v>
      </c>
      <c r="P11" s="4" t="s">
        <v>128</v>
      </c>
    </row>
    <row r="12" spans="1:16">
      <c r="A12" s="4">
        <v>11</v>
      </c>
      <c r="B12" s="4" t="s">
        <v>148</v>
      </c>
      <c r="C12" s="4" t="s">
        <v>24</v>
      </c>
      <c r="D12" s="4" t="s">
        <v>104</v>
      </c>
      <c r="E12" s="4" t="s">
        <v>18</v>
      </c>
      <c r="F12" s="4" t="s">
        <v>77</v>
      </c>
      <c r="G12" s="4"/>
      <c r="H12" s="4" t="s">
        <v>149</v>
      </c>
      <c r="I12" s="4" t="s">
        <v>139</v>
      </c>
      <c r="J12" s="4">
        <v>252</v>
      </c>
      <c r="K12" s="4"/>
      <c r="L12" s="4" t="s">
        <v>40</v>
      </c>
      <c r="M12" s="4" t="s">
        <v>128</v>
      </c>
      <c r="N12" s="4" t="s">
        <v>5</v>
      </c>
      <c r="O12" s="4">
        <v>1</v>
      </c>
      <c r="P12" s="4" t="s">
        <v>128</v>
      </c>
    </row>
    <row r="13" spans="1:16">
      <c r="A13" s="4">
        <v>12</v>
      </c>
      <c r="B13" s="4" t="s">
        <v>150</v>
      </c>
      <c r="C13" s="4" t="s">
        <v>24</v>
      </c>
      <c r="D13" s="4" t="s">
        <v>105</v>
      </c>
      <c r="E13" s="4" t="s">
        <v>18</v>
      </c>
      <c r="F13" s="4" t="s">
        <v>78</v>
      </c>
      <c r="G13" s="4"/>
      <c r="H13" s="4" t="s">
        <v>151</v>
      </c>
      <c r="I13" s="4" t="s">
        <v>84</v>
      </c>
      <c r="J13" s="4">
        <v>254</v>
      </c>
      <c r="K13" s="4"/>
      <c r="L13" s="4" t="s">
        <v>40</v>
      </c>
      <c r="M13" s="4" t="s">
        <v>128</v>
      </c>
      <c r="N13" s="4" t="s">
        <v>5</v>
      </c>
      <c r="O13" s="4">
        <v>1</v>
      </c>
      <c r="P13" s="4" t="s">
        <v>128</v>
      </c>
    </row>
    <row r="14" spans="1:16">
      <c r="A14" s="4">
        <v>13</v>
      </c>
      <c r="B14" s="4" t="s">
        <v>152</v>
      </c>
      <c r="C14" s="4" t="s">
        <v>24</v>
      </c>
      <c r="D14" s="4" t="s">
        <v>106</v>
      </c>
      <c r="E14" s="4" t="s">
        <v>18</v>
      </c>
      <c r="F14" s="4" t="s">
        <v>26</v>
      </c>
      <c r="G14" s="4"/>
      <c r="H14" s="4" t="s">
        <v>153</v>
      </c>
      <c r="I14" s="4" t="s">
        <v>81</v>
      </c>
      <c r="J14" s="4">
        <v>0</v>
      </c>
      <c r="K14" s="4"/>
      <c r="L14" s="4" t="s">
        <v>41</v>
      </c>
      <c r="M14" s="4" t="s">
        <v>128</v>
      </c>
      <c r="N14" s="4" t="s">
        <v>5</v>
      </c>
      <c r="O14" s="4">
        <v>1</v>
      </c>
      <c r="P14" s="4" t="s">
        <v>128</v>
      </c>
    </row>
    <row r="15" spans="1:16">
      <c r="A15" s="4">
        <v>14</v>
      </c>
      <c r="B15" s="4" t="s">
        <v>154</v>
      </c>
      <c r="C15" s="4" t="s">
        <v>24</v>
      </c>
      <c r="D15" s="4" t="s">
        <v>107</v>
      </c>
      <c r="E15" s="4" t="s">
        <v>18</v>
      </c>
      <c r="F15" s="4" t="s">
        <v>44</v>
      </c>
      <c r="G15" s="4"/>
      <c r="H15" s="4" t="s">
        <v>155</v>
      </c>
      <c r="I15" s="4" t="s">
        <v>139</v>
      </c>
      <c r="J15" s="4">
        <v>2</v>
      </c>
      <c r="K15" s="4"/>
      <c r="L15" s="4" t="s">
        <v>41</v>
      </c>
      <c r="M15" s="4" t="s">
        <v>128</v>
      </c>
      <c r="N15" s="4" t="s">
        <v>5</v>
      </c>
      <c r="O15" s="4">
        <v>1</v>
      </c>
      <c r="P15" s="4" t="s">
        <v>128</v>
      </c>
    </row>
    <row r="16" spans="1:16">
      <c r="A16" s="4">
        <v>15</v>
      </c>
      <c r="B16" s="4" t="s">
        <v>156</v>
      </c>
      <c r="C16" s="4" t="s">
        <v>24</v>
      </c>
      <c r="D16" s="4" t="s">
        <v>108</v>
      </c>
      <c r="E16" s="4" t="s">
        <v>18</v>
      </c>
      <c r="F16" s="4" t="s">
        <v>79</v>
      </c>
      <c r="G16" s="4"/>
      <c r="H16" s="4" t="s">
        <v>157</v>
      </c>
      <c r="I16" s="4" t="s">
        <v>139</v>
      </c>
      <c r="J16" s="4">
        <v>24</v>
      </c>
      <c r="K16" s="4"/>
      <c r="L16" s="4" t="s">
        <v>41</v>
      </c>
      <c r="M16" s="4" t="s">
        <v>128</v>
      </c>
      <c r="N16" s="4" t="s">
        <v>5</v>
      </c>
      <c r="O16" s="4">
        <v>1</v>
      </c>
      <c r="P16" s="4" t="s">
        <v>128</v>
      </c>
    </row>
    <row r="17" spans="1:16">
      <c r="A17" s="4">
        <v>16</v>
      </c>
      <c r="B17" s="4" t="s">
        <v>158</v>
      </c>
      <c r="C17" s="4" t="s">
        <v>24</v>
      </c>
      <c r="D17" s="4" t="s">
        <v>109</v>
      </c>
      <c r="E17" s="4" t="s">
        <v>18</v>
      </c>
      <c r="F17" s="4" t="s">
        <v>80</v>
      </c>
      <c r="G17" s="4"/>
      <c r="H17" s="4" t="s">
        <v>159</v>
      </c>
      <c r="I17" s="4" t="s">
        <v>139</v>
      </c>
      <c r="J17" s="4">
        <v>46</v>
      </c>
      <c r="K17" s="4"/>
      <c r="L17" s="4" t="s">
        <v>41</v>
      </c>
      <c r="M17" s="4" t="s">
        <v>128</v>
      </c>
      <c r="N17" s="4" t="s">
        <v>5</v>
      </c>
      <c r="O17" s="4">
        <v>1</v>
      </c>
      <c r="P17" s="4" t="s">
        <v>128</v>
      </c>
    </row>
    <row r="18" spans="1:16">
      <c r="A18" s="4">
        <v>17</v>
      </c>
      <c r="B18" s="4" t="s">
        <v>160</v>
      </c>
      <c r="C18" s="4" t="s">
        <v>13</v>
      </c>
      <c r="D18" s="4" t="s">
        <v>25</v>
      </c>
      <c r="E18" s="4" t="s">
        <v>19</v>
      </c>
      <c r="F18" s="4" t="s">
        <v>26</v>
      </c>
      <c r="G18" s="4"/>
      <c r="H18" s="4" t="s">
        <v>127</v>
      </c>
      <c r="I18" s="4" t="s">
        <v>81</v>
      </c>
      <c r="J18" s="4">
        <v>0</v>
      </c>
      <c r="K18" s="4"/>
      <c r="L18" s="4" t="s">
        <v>40</v>
      </c>
      <c r="M18" s="4" t="s">
        <v>128</v>
      </c>
      <c r="N18" s="4" t="s">
        <v>87</v>
      </c>
      <c r="O18" s="4">
        <v>1</v>
      </c>
      <c r="P18" s="4" t="s">
        <v>128</v>
      </c>
    </row>
    <row r="19" spans="1:16">
      <c r="A19" s="4">
        <v>18</v>
      </c>
      <c r="B19" s="4" t="s">
        <v>161</v>
      </c>
      <c r="C19" s="4" t="s">
        <v>13</v>
      </c>
      <c r="D19" s="4" t="s">
        <v>95</v>
      </c>
      <c r="E19" s="4" t="s">
        <v>19</v>
      </c>
      <c r="F19" s="4" t="s">
        <v>70</v>
      </c>
      <c r="G19" s="4"/>
      <c r="H19" s="4" t="s">
        <v>130</v>
      </c>
      <c r="I19" s="4" t="s">
        <v>81</v>
      </c>
      <c r="J19" s="4">
        <v>2</v>
      </c>
      <c r="K19" s="4"/>
      <c r="L19" s="4" t="s">
        <v>40</v>
      </c>
      <c r="M19" s="4" t="s">
        <v>128</v>
      </c>
      <c r="N19" s="4" t="s">
        <v>87</v>
      </c>
      <c r="O19" s="4">
        <v>1</v>
      </c>
      <c r="P19" s="4" t="b">
        <v>1</v>
      </c>
    </row>
    <row r="20" spans="1:16">
      <c r="A20" s="4">
        <v>19</v>
      </c>
      <c r="B20" s="4" t="s">
        <v>162</v>
      </c>
      <c r="C20" s="4" t="s">
        <v>13</v>
      </c>
      <c r="D20" s="4" t="s">
        <v>96</v>
      </c>
      <c r="E20" s="4" t="s">
        <v>19</v>
      </c>
      <c r="F20" s="4" t="s">
        <v>71</v>
      </c>
      <c r="G20" s="4"/>
      <c r="H20" s="4" t="s">
        <v>132</v>
      </c>
      <c r="I20" s="4" t="s">
        <v>82</v>
      </c>
      <c r="J20" s="4">
        <v>4</v>
      </c>
      <c r="K20" s="4"/>
      <c r="L20" s="4" t="s">
        <v>40</v>
      </c>
      <c r="M20" s="4">
        <v>64</v>
      </c>
      <c r="N20" s="4" t="s">
        <v>87</v>
      </c>
      <c r="O20" s="4">
        <v>1</v>
      </c>
      <c r="P20" s="4" t="s">
        <v>128</v>
      </c>
    </row>
    <row r="21" spans="1:16">
      <c r="A21" s="4">
        <v>20</v>
      </c>
      <c r="B21" s="4" t="s">
        <v>163</v>
      </c>
      <c r="C21" s="4" t="s">
        <v>13</v>
      </c>
      <c r="D21" s="4" t="s">
        <v>97</v>
      </c>
      <c r="E21" s="4" t="s">
        <v>19</v>
      </c>
      <c r="F21" s="4" t="s">
        <v>72</v>
      </c>
      <c r="G21" s="4"/>
      <c r="H21" s="4" t="s">
        <v>134</v>
      </c>
      <c r="I21" s="4" t="s">
        <v>81</v>
      </c>
      <c r="J21" s="4">
        <v>90</v>
      </c>
      <c r="K21" s="4"/>
      <c r="L21" s="4" t="s">
        <v>40</v>
      </c>
      <c r="M21" s="4" t="s">
        <v>128</v>
      </c>
      <c r="N21" s="4" t="s">
        <v>87</v>
      </c>
      <c r="O21" s="4">
        <v>1</v>
      </c>
      <c r="P21" s="4" t="b">
        <v>1</v>
      </c>
    </row>
    <row r="22" spans="1:16">
      <c r="A22" s="4">
        <v>21</v>
      </c>
      <c r="B22" s="4" t="s">
        <v>164</v>
      </c>
      <c r="C22" s="4" t="s">
        <v>13</v>
      </c>
      <c r="D22" s="4" t="s">
        <v>98</v>
      </c>
      <c r="E22" s="4" t="s">
        <v>19</v>
      </c>
      <c r="F22" s="4" t="s">
        <v>73</v>
      </c>
      <c r="G22" s="4"/>
      <c r="H22" s="4" t="s">
        <v>136</v>
      </c>
      <c r="I22" s="4" t="s">
        <v>82</v>
      </c>
      <c r="J22" s="4">
        <v>92</v>
      </c>
      <c r="K22" s="4"/>
      <c r="L22" s="4" t="s">
        <v>40</v>
      </c>
      <c r="M22" s="4">
        <v>64</v>
      </c>
      <c r="N22" s="4" t="s">
        <v>87</v>
      </c>
      <c r="O22" s="4">
        <v>1</v>
      </c>
      <c r="P22" s="4" t="s">
        <v>128</v>
      </c>
    </row>
    <row r="23" spans="1:16">
      <c r="A23" s="4">
        <v>22</v>
      </c>
      <c r="B23" s="4" t="s">
        <v>165</v>
      </c>
      <c r="C23" s="4" t="s">
        <v>13</v>
      </c>
      <c r="D23" s="4" t="s">
        <v>99</v>
      </c>
      <c r="E23" s="4" t="s">
        <v>19</v>
      </c>
      <c r="F23" s="4" t="s">
        <v>74</v>
      </c>
      <c r="G23" s="4"/>
      <c r="H23" s="4" t="s">
        <v>138</v>
      </c>
      <c r="I23" s="4" t="s">
        <v>139</v>
      </c>
      <c r="J23" s="4">
        <v>158</v>
      </c>
      <c r="K23" s="4"/>
      <c r="L23" s="4" t="s">
        <v>40</v>
      </c>
      <c r="M23" s="4" t="s">
        <v>128</v>
      </c>
      <c r="N23" s="4" t="s">
        <v>87</v>
      </c>
      <c r="O23" s="4">
        <v>1</v>
      </c>
      <c r="P23" s="4" t="s">
        <v>128</v>
      </c>
    </row>
    <row r="24" spans="1:16">
      <c r="A24" s="4">
        <v>23</v>
      </c>
      <c r="B24" s="4" t="s">
        <v>166</v>
      </c>
      <c r="C24" s="4" t="s">
        <v>13</v>
      </c>
      <c r="D24" s="4" t="s">
        <v>100</v>
      </c>
      <c r="E24" s="4" t="s">
        <v>19</v>
      </c>
      <c r="F24" s="4" t="s">
        <v>75</v>
      </c>
      <c r="G24" s="4"/>
      <c r="H24" s="4" t="s">
        <v>141</v>
      </c>
      <c r="I24" s="4" t="s">
        <v>139</v>
      </c>
      <c r="J24" s="4">
        <v>160</v>
      </c>
      <c r="K24" s="4"/>
      <c r="L24" s="4" t="s">
        <v>40</v>
      </c>
      <c r="M24" s="4" t="s">
        <v>128</v>
      </c>
      <c r="N24" s="4" t="s">
        <v>87</v>
      </c>
      <c r="O24" s="4">
        <v>1</v>
      </c>
      <c r="P24" s="4" t="s">
        <v>128</v>
      </c>
    </row>
    <row r="25" spans="1:16">
      <c r="A25" s="4">
        <v>24</v>
      </c>
      <c r="B25" s="4" t="s">
        <v>167</v>
      </c>
      <c r="C25" s="4" t="s">
        <v>13</v>
      </c>
      <c r="D25" s="4" t="s">
        <v>101</v>
      </c>
      <c r="E25" s="4" t="s">
        <v>19</v>
      </c>
      <c r="F25" s="4" t="s">
        <v>70</v>
      </c>
      <c r="G25" s="4"/>
      <c r="H25" s="4" t="s">
        <v>143</v>
      </c>
      <c r="I25" s="4" t="s">
        <v>81</v>
      </c>
      <c r="J25" s="4">
        <v>182</v>
      </c>
      <c r="K25" s="4"/>
      <c r="L25" s="4" t="s">
        <v>40</v>
      </c>
      <c r="M25" s="4" t="s">
        <v>128</v>
      </c>
      <c r="N25" s="4" t="s">
        <v>87</v>
      </c>
      <c r="O25" s="4">
        <v>1</v>
      </c>
      <c r="P25" s="4" t="b">
        <v>1</v>
      </c>
    </row>
    <row r="26" spans="1:16">
      <c r="A26" s="2"/>
      <c r="B26" s="2" t="s">
        <v>168</v>
      </c>
      <c r="C26" s="2" t="s">
        <v>13</v>
      </c>
      <c r="D26" s="2" t="s">
        <v>102</v>
      </c>
      <c r="E26" s="2" t="s">
        <v>19</v>
      </c>
      <c r="F26" s="2" t="s">
        <v>71</v>
      </c>
      <c r="G26" s="2"/>
      <c r="H26" s="2" t="s">
        <v>145</v>
      </c>
      <c r="I26" s="2" t="s">
        <v>82</v>
      </c>
      <c r="J26" s="2">
        <v>184</v>
      </c>
      <c r="K26" s="2"/>
      <c r="L26" s="2" t="s">
        <v>40</v>
      </c>
      <c r="M26" s="2">
        <v>64</v>
      </c>
      <c r="N26" s="2" t="s">
        <v>87</v>
      </c>
      <c r="O26" s="2"/>
      <c r="P26" s="2" t="s">
        <v>128</v>
      </c>
    </row>
    <row r="27" spans="1:16">
      <c r="A27" s="2"/>
      <c r="B27" s="2" t="s">
        <v>169</v>
      </c>
      <c r="C27" s="2" t="s">
        <v>13</v>
      </c>
      <c r="D27" s="2" t="s">
        <v>103</v>
      </c>
      <c r="E27" s="2" t="s">
        <v>19</v>
      </c>
      <c r="F27" s="2" t="s">
        <v>76</v>
      </c>
      <c r="G27" s="2"/>
      <c r="H27" s="2" t="s">
        <v>147</v>
      </c>
      <c r="I27" s="2" t="s">
        <v>139</v>
      </c>
      <c r="J27" s="2">
        <v>250</v>
      </c>
      <c r="K27" s="2"/>
      <c r="L27" s="2" t="s">
        <v>40</v>
      </c>
      <c r="M27" s="2" t="s">
        <v>128</v>
      </c>
      <c r="N27" s="2" t="s">
        <v>87</v>
      </c>
      <c r="O27" s="2"/>
      <c r="P27" s="2" t="s">
        <v>128</v>
      </c>
    </row>
    <row r="28" spans="1:16">
      <c r="A28" s="2"/>
      <c r="B28" s="2" t="s">
        <v>170</v>
      </c>
      <c r="C28" s="2" t="s">
        <v>13</v>
      </c>
      <c r="D28" s="2" t="s">
        <v>104</v>
      </c>
      <c r="E28" s="2" t="s">
        <v>19</v>
      </c>
      <c r="F28" s="2" t="s">
        <v>77</v>
      </c>
      <c r="G28" s="2"/>
      <c r="H28" s="2" t="s">
        <v>149</v>
      </c>
      <c r="I28" s="2" t="s">
        <v>139</v>
      </c>
      <c r="J28" s="2">
        <v>252</v>
      </c>
      <c r="K28" s="2"/>
      <c r="L28" s="2" t="s">
        <v>40</v>
      </c>
      <c r="M28" s="2" t="s">
        <v>128</v>
      </c>
      <c r="N28" s="2" t="s">
        <v>87</v>
      </c>
      <c r="O28" s="2"/>
      <c r="P28" s="2" t="s">
        <v>128</v>
      </c>
    </row>
    <row r="29" spans="1:16">
      <c r="A29" s="2"/>
      <c r="B29" s="2" t="s">
        <v>171</v>
      </c>
      <c r="C29" s="2" t="s">
        <v>13</v>
      </c>
      <c r="D29" s="2" t="s">
        <v>105</v>
      </c>
      <c r="E29" s="2" t="s">
        <v>19</v>
      </c>
      <c r="F29" s="2" t="s">
        <v>78</v>
      </c>
      <c r="G29" s="2"/>
      <c r="H29" s="2" t="s">
        <v>151</v>
      </c>
      <c r="I29" s="2" t="s">
        <v>84</v>
      </c>
      <c r="J29" s="2">
        <v>254</v>
      </c>
      <c r="K29" s="2"/>
      <c r="L29" s="2" t="s">
        <v>40</v>
      </c>
      <c r="M29" s="2" t="s">
        <v>128</v>
      </c>
      <c r="N29" s="2" t="s">
        <v>87</v>
      </c>
      <c r="O29" s="2"/>
      <c r="P29" s="2" t="s">
        <v>128</v>
      </c>
    </row>
    <row r="30" spans="1:16">
      <c r="A30" s="2"/>
      <c r="B30" s="2" t="s">
        <v>172</v>
      </c>
      <c r="C30" s="2" t="s">
        <v>13</v>
      </c>
      <c r="D30" s="2" t="s">
        <v>106</v>
      </c>
      <c r="E30" s="2" t="s">
        <v>19</v>
      </c>
      <c r="F30" s="2" t="s">
        <v>26</v>
      </c>
      <c r="G30" s="2"/>
      <c r="H30" s="2" t="s">
        <v>153</v>
      </c>
      <c r="I30" s="2" t="s">
        <v>81</v>
      </c>
      <c r="J30" s="2">
        <v>0</v>
      </c>
      <c r="K30" s="2"/>
      <c r="L30" s="2" t="s">
        <v>41</v>
      </c>
      <c r="M30" s="2" t="s">
        <v>128</v>
      </c>
      <c r="N30" s="2" t="s">
        <v>87</v>
      </c>
      <c r="O30" s="2"/>
      <c r="P30" s="2" t="s">
        <v>128</v>
      </c>
    </row>
    <row r="31" spans="1:16">
      <c r="A31" s="2"/>
      <c r="B31" s="2" t="s">
        <v>173</v>
      </c>
      <c r="C31" s="2" t="s">
        <v>13</v>
      </c>
      <c r="D31" s="2" t="s">
        <v>107</v>
      </c>
      <c r="E31" s="2" t="s">
        <v>19</v>
      </c>
      <c r="F31" s="2" t="s">
        <v>44</v>
      </c>
      <c r="G31" s="2"/>
      <c r="H31" s="2" t="s">
        <v>155</v>
      </c>
      <c r="I31" s="2" t="s">
        <v>139</v>
      </c>
      <c r="J31" s="2">
        <v>2</v>
      </c>
      <c r="K31" s="2"/>
      <c r="L31" s="2" t="s">
        <v>41</v>
      </c>
      <c r="M31" s="2" t="s">
        <v>128</v>
      </c>
      <c r="N31" s="2" t="s">
        <v>87</v>
      </c>
      <c r="O31" s="2"/>
      <c r="P31" s="2" t="s">
        <v>128</v>
      </c>
    </row>
    <row r="32" spans="1:16">
      <c r="A32" s="2"/>
      <c r="B32" s="2" t="s">
        <v>174</v>
      </c>
      <c r="C32" s="2" t="s">
        <v>13</v>
      </c>
      <c r="D32" s="2" t="s">
        <v>108</v>
      </c>
      <c r="E32" s="2" t="s">
        <v>19</v>
      </c>
      <c r="F32" s="2" t="s">
        <v>79</v>
      </c>
      <c r="G32" s="2"/>
      <c r="H32" s="2" t="s">
        <v>157</v>
      </c>
      <c r="I32" s="2" t="s">
        <v>139</v>
      </c>
      <c r="J32" s="2">
        <v>24</v>
      </c>
      <c r="K32" s="2"/>
      <c r="L32" s="2" t="s">
        <v>41</v>
      </c>
      <c r="M32" s="2" t="s">
        <v>128</v>
      </c>
      <c r="N32" s="2" t="s">
        <v>87</v>
      </c>
      <c r="O32" s="2"/>
      <c r="P32" s="2" t="s">
        <v>128</v>
      </c>
    </row>
    <row r="33" spans="1:16">
      <c r="A33" s="2"/>
      <c r="B33" s="2" t="s">
        <v>175</v>
      </c>
      <c r="C33" s="2" t="s">
        <v>13</v>
      </c>
      <c r="D33" s="2" t="s">
        <v>109</v>
      </c>
      <c r="E33" s="2" t="s">
        <v>19</v>
      </c>
      <c r="F33" s="2" t="s">
        <v>80</v>
      </c>
      <c r="G33" s="2"/>
      <c r="H33" s="2" t="s">
        <v>159</v>
      </c>
      <c r="I33" s="2" t="s">
        <v>139</v>
      </c>
      <c r="J33" s="2">
        <v>46</v>
      </c>
      <c r="K33" s="2"/>
      <c r="L33" s="2" t="s">
        <v>41</v>
      </c>
      <c r="M33" s="2" t="s">
        <v>128</v>
      </c>
      <c r="N33" s="2" t="s">
        <v>87</v>
      </c>
      <c r="O33" s="2"/>
      <c r="P33" s="2" t="s">
        <v>128</v>
      </c>
    </row>
    <row r="34" spans="1:16">
      <c r="A34" s="2"/>
      <c r="B34" s="2" t="s">
        <v>176</v>
      </c>
      <c r="C34" s="2" t="s">
        <v>91</v>
      </c>
      <c r="D34" s="2" t="s">
        <v>25</v>
      </c>
      <c r="E34" s="2"/>
      <c r="F34" s="2" t="s">
        <v>26</v>
      </c>
      <c r="G34" s="2"/>
      <c r="H34" s="2" t="s">
        <v>127</v>
      </c>
      <c r="I34" s="2" t="s">
        <v>81</v>
      </c>
      <c r="J34" s="2">
        <v>0</v>
      </c>
      <c r="K34" s="2"/>
      <c r="L34" s="2" t="s">
        <v>40</v>
      </c>
      <c r="M34" s="2" t="s">
        <v>128</v>
      </c>
      <c r="N34" s="2" t="s">
        <v>88</v>
      </c>
      <c r="O34" s="2"/>
      <c r="P34" s="2" t="s">
        <v>128</v>
      </c>
    </row>
    <row r="35" spans="1:16">
      <c r="A35" s="2"/>
      <c r="B35" s="2" t="s">
        <v>177</v>
      </c>
      <c r="C35" s="2" t="s">
        <v>92</v>
      </c>
      <c r="D35" s="2" t="s">
        <v>110</v>
      </c>
      <c r="E35" s="2"/>
      <c r="F35" s="2" t="s">
        <v>45</v>
      </c>
      <c r="G35" s="2"/>
      <c r="H35" s="2" t="s">
        <v>130</v>
      </c>
      <c r="I35" s="2" t="s">
        <v>81</v>
      </c>
      <c r="J35" s="2">
        <v>2</v>
      </c>
      <c r="K35" s="2"/>
      <c r="L35" s="2" t="s">
        <v>40</v>
      </c>
      <c r="M35" s="2" t="s">
        <v>128</v>
      </c>
      <c r="N35" s="2" t="s">
        <v>88</v>
      </c>
      <c r="O35" s="2"/>
      <c r="P35" s="2" t="b">
        <v>1</v>
      </c>
    </row>
    <row r="36" spans="1:16">
      <c r="A36" s="2"/>
      <c r="B36" s="2" t="s">
        <v>178</v>
      </c>
      <c r="C36" s="2" t="s">
        <v>92</v>
      </c>
      <c r="D36" s="2" t="s">
        <v>111</v>
      </c>
      <c r="E36" s="2"/>
      <c r="F36" s="2" t="s">
        <v>46</v>
      </c>
      <c r="G36" s="2"/>
      <c r="H36" s="2" t="s">
        <v>132</v>
      </c>
      <c r="I36" s="2" t="s">
        <v>82</v>
      </c>
      <c r="J36" s="2">
        <v>4</v>
      </c>
      <c r="K36" s="2"/>
      <c r="L36" s="2" t="s">
        <v>40</v>
      </c>
      <c r="M36" s="2">
        <v>64</v>
      </c>
      <c r="N36" s="2" t="s">
        <v>88</v>
      </c>
      <c r="O36" s="2"/>
      <c r="P36" s="2" t="s">
        <v>128</v>
      </c>
    </row>
    <row r="37" spans="1:16">
      <c r="A37" s="2"/>
      <c r="B37" s="2" t="s">
        <v>179</v>
      </c>
      <c r="C37" s="2" t="s">
        <v>92</v>
      </c>
      <c r="D37" s="2" t="s">
        <v>112</v>
      </c>
      <c r="E37" s="2"/>
      <c r="F37" s="2" t="s">
        <v>47</v>
      </c>
      <c r="G37" s="2"/>
      <c r="H37" s="2" t="s">
        <v>180</v>
      </c>
      <c r="I37" s="2" t="s">
        <v>84</v>
      </c>
      <c r="J37" s="2">
        <v>70</v>
      </c>
      <c r="K37" s="2"/>
      <c r="L37" s="2" t="s">
        <v>40</v>
      </c>
      <c r="M37" s="2" t="s">
        <v>128</v>
      </c>
      <c r="N37" s="2" t="s">
        <v>88</v>
      </c>
      <c r="O37" s="2"/>
      <c r="P37" s="2" t="s">
        <v>128</v>
      </c>
    </row>
    <row r="38" spans="1:16">
      <c r="A38" s="2"/>
      <c r="B38" s="2" t="s">
        <v>181</v>
      </c>
      <c r="C38" s="2" t="s">
        <v>14</v>
      </c>
      <c r="D38" s="2" t="s">
        <v>110</v>
      </c>
      <c r="E38" s="2"/>
      <c r="F38" s="2" t="s">
        <v>182</v>
      </c>
      <c r="G38" s="2"/>
      <c r="H38" s="2" t="s">
        <v>183</v>
      </c>
      <c r="I38" s="2" t="s">
        <v>81</v>
      </c>
      <c r="J38" s="2">
        <v>94</v>
      </c>
      <c r="K38" s="2"/>
      <c r="L38" s="2" t="s">
        <v>40</v>
      </c>
      <c r="M38" s="2" t="s">
        <v>128</v>
      </c>
      <c r="N38" s="2" t="s">
        <v>88</v>
      </c>
      <c r="O38" s="2"/>
      <c r="P38" s="2" t="b">
        <v>1</v>
      </c>
    </row>
    <row r="39" spans="1:16">
      <c r="A39" s="2"/>
      <c r="B39" s="2" t="s">
        <v>184</v>
      </c>
      <c r="C39" s="2" t="s">
        <v>14</v>
      </c>
      <c r="D39" s="2" t="s">
        <v>111</v>
      </c>
      <c r="E39" s="2"/>
      <c r="F39" s="2" t="s">
        <v>185</v>
      </c>
      <c r="G39" s="2"/>
      <c r="H39" s="2" t="s">
        <v>186</v>
      </c>
      <c r="I39" s="2" t="s">
        <v>82</v>
      </c>
      <c r="J39" s="2">
        <v>96</v>
      </c>
      <c r="K39" s="2"/>
      <c r="L39" s="2" t="s">
        <v>40</v>
      </c>
      <c r="M39" s="2">
        <v>64</v>
      </c>
      <c r="N39" s="2" t="s">
        <v>88</v>
      </c>
      <c r="O39" s="2"/>
      <c r="P39" s="2" t="s">
        <v>128</v>
      </c>
    </row>
    <row r="40" spans="1:16">
      <c r="A40" s="2"/>
      <c r="B40" s="2" t="s">
        <v>187</v>
      </c>
      <c r="C40" s="2" t="s">
        <v>93</v>
      </c>
      <c r="D40" s="2" t="s">
        <v>110</v>
      </c>
      <c r="E40" s="2"/>
      <c r="F40" s="2" t="s">
        <v>182</v>
      </c>
      <c r="G40" s="2"/>
      <c r="H40" s="2" t="s">
        <v>143</v>
      </c>
      <c r="I40" s="2" t="s">
        <v>81</v>
      </c>
      <c r="J40" s="2">
        <v>182</v>
      </c>
      <c r="K40" s="2"/>
      <c r="L40" s="2" t="s">
        <v>40</v>
      </c>
      <c r="M40" s="2" t="s">
        <v>128</v>
      </c>
      <c r="N40" s="2" t="s">
        <v>88</v>
      </c>
      <c r="O40" s="2"/>
      <c r="P40" s="2" t="b">
        <v>1</v>
      </c>
    </row>
    <row r="41" spans="1:16">
      <c r="A41" s="2"/>
      <c r="B41" s="2" t="s">
        <v>188</v>
      </c>
      <c r="C41" s="2" t="s">
        <v>93</v>
      </c>
      <c r="D41" s="2" t="s">
        <v>111</v>
      </c>
      <c r="E41" s="2"/>
      <c r="F41" s="2" t="s">
        <v>185</v>
      </c>
      <c r="G41" s="2"/>
      <c r="H41" s="2" t="s">
        <v>145</v>
      </c>
      <c r="I41" s="2" t="s">
        <v>82</v>
      </c>
      <c r="J41" s="2">
        <v>184</v>
      </c>
      <c r="K41" s="2"/>
      <c r="L41" s="2" t="s">
        <v>40</v>
      </c>
      <c r="M41" s="2">
        <v>64</v>
      </c>
      <c r="N41" s="2" t="s">
        <v>88</v>
      </c>
      <c r="O41" s="2"/>
      <c r="P41" s="2" t="s">
        <v>128</v>
      </c>
    </row>
    <row r="42" spans="1:16">
      <c r="A42" s="2"/>
      <c r="B42" s="2" t="s">
        <v>189</v>
      </c>
      <c r="C42" s="2" t="s">
        <v>42</v>
      </c>
      <c r="D42" s="2" t="s">
        <v>110</v>
      </c>
      <c r="E42" s="2"/>
      <c r="F42" s="2" t="s">
        <v>190</v>
      </c>
      <c r="G42" s="2"/>
      <c r="H42" s="2" t="s">
        <v>191</v>
      </c>
      <c r="I42" s="2" t="s">
        <v>81</v>
      </c>
      <c r="J42" s="2">
        <v>270</v>
      </c>
      <c r="K42" s="2"/>
      <c r="L42" s="2" t="s">
        <v>40</v>
      </c>
      <c r="M42" s="2" t="s">
        <v>128</v>
      </c>
      <c r="N42" s="2" t="s">
        <v>88</v>
      </c>
      <c r="O42" s="2"/>
      <c r="P42" s="2" t="b">
        <v>1</v>
      </c>
    </row>
    <row r="43" spans="1:16">
      <c r="A43" s="2"/>
      <c r="B43" s="2" t="s">
        <v>192</v>
      </c>
      <c r="C43" s="2" t="s">
        <v>42</v>
      </c>
      <c r="D43" s="2" t="s">
        <v>111</v>
      </c>
      <c r="E43" s="2"/>
      <c r="F43" s="2" t="s">
        <v>193</v>
      </c>
      <c r="G43" s="2"/>
      <c r="H43" s="2" t="s">
        <v>194</v>
      </c>
      <c r="I43" s="2" t="s">
        <v>82</v>
      </c>
      <c r="J43" s="2">
        <v>272</v>
      </c>
      <c r="K43" s="2"/>
      <c r="L43" s="2" t="s">
        <v>40</v>
      </c>
      <c r="M43" s="2">
        <v>64</v>
      </c>
      <c r="N43" s="2" t="s">
        <v>88</v>
      </c>
      <c r="O43" s="2"/>
      <c r="P43" s="2" t="s">
        <v>128</v>
      </c>
    </row>
    <row r="44" spans="1:16">
      <c r="A44" s="2"/>
      <c r="B44" s="2" t="s">
        <v>195</v>
      </c>
      <c r="C44" s="2" t="s">
        <v>42</v>
      </c>
      <c r="D44" s="2" t="s">
        <v>113</v>
      </c>
      <c r="E44" s="2"/>
      <c r="F44" s="2" t="s">
        <v>52</v>
      </c>
      <c r="G44" s="2"/>
      <c r="H44" s="2" t="s">
        <v>196</v>
      </c>
      <c r="I44" s="2" t="s">
        <v>139</v>
      </c>
      <c r="J44" s="2">
        <v>358</v>
      </c>
      <c r="K44" s="2"/>
      <c r="L44" s="2" t="s">
        <v>40</v>
      </c>
      <c r="M44" s="2" t="s">
        <v>128</v>
      </c>
      <c r="N44" s="2" t="s">
        <v>88</v>
      </c>
      <c r="O44" s="2"/>
      <c r="P44" s="2" t="s">
        <v>128</v>
      </c>
    </row>
    <row r="45" spans="1:16">
      <c r="A45" s="2"/>
      <c r="B45" s="2" t="s">
        <v>197</v>
      </c>
      <c r="C45" s="2" t="s">
        <v>42</v>
      </c>
      <c r="D45" s="2" t="s">
        <v>114</v>
      </c>
      <c r="E45" s="2"/>
      <c r="F45" s="2" t="s">
        <v>53</v>
      </c>
      <c r="G45" s="2"/>
      <c r="H45" s="2" t="s">
        <v>198</v>
      </c>
      <c r="I45" s="2" t="s">
        <v>139</v>
      </c>
      <c r="J45" s="2">
        <v>360</v>
      </c>
      <c r="K45" s="2"/>
      <c r="L45" s="2" t="s">
        <v>40</v>
      </c>
      <c r="M45" s="2" t="s">
        <v>128</v>
      </c>
      <c r="N45" s="2" t="s">
        <v>88</v>
      </c>
      <c r="O45" s="2"/>
      <c r="P45" s="2" t="s">
        <v>128</v>
      </c>
    </row>
    <row r="46" spans="1:16">
      <c r="A46" s="2"/>
      <c r="B46" s="2" t="s">
        <v>199</v>
      </c>
      <c r="C46" s="2" t="s">
        <v>42</v>
      </c>
      <c r="D46" s="2" t="s">
        <v>115</v>
      </c>
      <c r="E46" s="2"/>
      <c r="F46" s="2" t="s">
        <v>54</v>
      </c>
      <c r="G46" s="2"/>
      <c r="H46" s="2" t="s">
        <v>200</v>
      </c>
      <c r="I46" s="2" t="s">
        <v>81</v>
      </c>
      <c r="J46" s="2">
        <v>362</v>
      </c>
      <c r="K46" s="2"/>
      <c r="L46" s="2" t="s">
        <v>40</v>
      </c>
      <c r="M46" s="2" t="s">
        <v>128</v>
      </c>
      <c r="N46" s="2" t="s">
        <v>88</v>
      </c>
      <c r="O46" s="2"/>
      <c r="P46" s="2" t="s">
        <v>128</v>
      </c>
    </row>
    <row r="47" spans="1:16">
      <c r="A47" s="2"/>
      <c r="B47" s="2" t="s">
        <v>201</v>
      </c>
      <c r="C47" s="2" t="s">
        <v>42</v>
      </c>
      <c r="D47" s="2" t="s">
        <v>116</v>
      </c>
      <c r="E47" s="2"/>
      <c r="F47" s="2" t="s">
        <v>55</v>
      </c>
      <c r="G47" s="2"/>
      <c r="H47" s="2" t="s">
        <v>202</v>
      </c>
      <c r="I47" s="2" t="s">
        <v>81</v>
      </c>
      <c r="J47" s="2">
        <v>364</v>
      </c>
      <c r="K47" s="2"/>
      <c r="L47" s="2" t="s">
        <v>40</v>
      </c>
      <c r="M47" s="2" t="s">
        <v>128</v>
      </c>
      <c r="N47" s="2" t="s">
        <v>88</v>
      </c>
      <c r="O47" s="2"/>
      <c r="P47" s="2" t="s">
        <v>128</v>
      </c>
    </row>
    <row r="48" spans="1:16">
      <c r="A48" s="2"/>
      <c r="B48" s="2" t="s">
        <v>203</v>
      </c>
      <c r="C48" s="2" t="s">
        <v>94</v>
      </c>
      <c r="D48" s="2" t="s">
        <v>110</v>
      </c>
      <c r="E48" s="2"/>
      <c r="F48" s="2" t="s">
        <v>56</v>
      </c>
      <c r="G48" s="2"/>
      <c r="H48" s="2" t="s">
        <v>204</v>
      </c>
      <c r="I48" s="2" t="s">
        <v>81</v>
      </c>
      <c r="J48" s="2">
        <v>386</v>
      </c>
      <c r="K48" s="2"/>
      <c r="L48" s="2" t="s">
        <v>40</v>
      </c>
      <c r="M48" s="2" t="s">
        <v>128</v>
      </c>
      <c r="N48" s="2" t="s">
        <v>88</v>
      </c>
      <c r="O48" s="2"/>
      <c r="P48" s="2" t="b">
        <v>1</v>
      </c>
    </row>
    <row r="49" spans="1:16">
      <c r="A49" s="2"/>
      <c r="B49" s="2" t="s">
        <v>205</v>
      </c>
      <c r="C49" s="2" t="s">
        <v>94</v>
      </c>
      <c r="D49" s="2" t="s">
        <v>111</v>
      </c>
      <c r="E49" s="2"/>
      <c r="F49" s="2" t="s">
        <v>57</v>
      </c>
      <c r="G49" s="2"/>
      <c r="H49" s="2" t="s">
        <v>206</v>
      </c>
      <c r="I49" s="2" t="s">
        <v>82</v>
      </c>
      <c r="J49" s="2">
        <v>388</v>
      </c>
      <c r="K49" s="2"/>
      <c r="L49" s="2" t="s">
        <v>40</v>
      </c>
      <c r="M49" s="2">
        <v>64</v>
      </c>
      <c r="N49" s="2" t="s">
        <v>88</v>
      </c>
      <c r="O49" s="2"/>
      <c r="P49" s="2" t="s">
        <v>128</v>
      </c>
    </row>
    <row r="50" spans="1:16">
      <c r="A50" s="2"/>
      <c r="B50" s="2" t="s">
        <v>207</v>
      </c>
      <c r="C50" s="2" t="s">
        <v>94</v>
      </c>
      <c r="D50" s="2" t="s">
        <v>117</v>
      </c>
      <c r="E50" s="2"/>
      <c r="F50" s="2" t="s">
        <v>208</v>
      </c>
      <c r="G50" s="2"/>
      <c r="H50" s="2" t="s">
        <v>209</v>
      </c>
      <c r="I50" s="2" t="s">
        <v>81</v>
      </c>
      <c r="J50" s="2">
        <v>454</v>
      </c>
      <c r="K50" s="2"/>
      <c r="L50" s="2" t="s">
        <v>40</v>
      </c>
      <c r="M50" s="2" t="s">
        <v>128</v>
      </c>
      <c r="N50" s="2" t="s">
        <v>88</v>
      </c>
      <c r="O50" s="2"/>
      <c r="P50" s="2" t="s">
        <v>128</v>
      </c>
    </row>
    <row r="51" spans="1:16">
      <c r="A51" s="2"/>
      <c r="B51" s="2" t="s">
        <v>210</v>
      </c>
      <c r="C51" s="2" t="s">
        <v>91</v>
      </c>
      <c r="D51" s="2" t="s">
        <v>106</v>
      </c>
      <c r="E51" s="2"/>
      <c r="F51" s="2" t="s">
        <v>26</v>
      </c>
      <c r="G51" s="2"/>
      <c r="H51" s="2" t="s">
        <v>153</v>
      </c>
      <c r="I51" s="2" t="s">
        <v>81</v>
      </c>
      <c r="J51" s="2">
        <v>0</v>
      </c>
      <c r="K51" s="2"/>
      <c r="L51" s="2" t="s">
        <v>41</v>
      </c>
      <c r="M51" s="2" t="s">
        <v>128</v>
      </c>
      <c r="N51" s="2" t="s">
        <v>88</v>
      </c>
      <c r="O51" s="2"/>
      <c r="P51" s="2" t="s">
        <v>128</v>
      </c>
    </row>
    <row r="52" spans="1:16">
      <c r="A52" s="2"/>
      <c r="B52" s="2" t="s">
        <v>211</v>
      </c>
      <c r="C52" s="2" t="s">
        <v>92</v>
      </c>
      <c r="D52" s="2" t="s">
        <v>118</v>
      </c>
      <c r="E52" s="2"/>
      <c r="F52" s="2" t="s">
        <v>212</v>
      </c>
      <c r="G52" s="2"/>
      <c r="H52" s="2" t="s">
        <v>155</v>
      </c>
      <c r="I52" s="2" t="s">
        <v>139</v>
      </c>
      <c r="J52" s="2">
        <v>2</v>
      </c>
      <c r="K52" s="2"/>
      <c r="L52" s="2" t="s">
        <v>41</v>
      </c>
      <c r="M52" s="2" t="s">
        <v>128</v>
      </c>
      <c r="N52" s="2" t="s">
        <v>88</v>
      </c>
      <c r="O52" s="2"/>
      <c r="P52" s="2" t="s">
        <v>128</v>
      </c>
    </row>
    <row r="53" spans="1:16">
      <c r="A53" s="2"/>
      <c r="B53" s="2" t="s">
        <v>213</v>
      </c>
      <c r="C53" s="2" t="s">
        <v>92</v>
      </c>
      <c r="D53" s="2" t="s">
        <v>119</v>
      </c>
      <c r="E53" s="2"/>
      <c r="F53" s="2" t="s">
        <v>214</v>
      </c>
      <c r="G53" s="2"/>
      <c r="H53" s="2" t="s">
        <v>215</v>
      </c>
      <c r="I53" s="2" t="s">
        <v>139</v>
      </c>
      <c r="J53" s="2">
        <v>4</v>
      </c>
      <c r="K53" s="2"/>
      <c r="L53" s="2" t="s">
        <v>41</v>
      </c>
      <c r="M53" s="2" t="s">
        <v>128</v>
      </c>
      <c r="N53" s="2" t="s">
        <v>88</v>
      </c>
      <c r="O53" s="2"/>
      <c r="P53" s="2" t="s">
        <v>128</v>
      </c>
    </row>
    <row r="54" spans="1:16">
      <c r="A54" s="2"/>
      <c r="B54" s="2" t="s">
        <v>216</v>
      </c>
      <c r="C54" s="2" t="s">
        <v>92</v>
      </c>
      <c r="D54" s="2" t="s">
        <v>120</v>
      </c>
      <c r="E54" s="2"/>
      <c r="F54" s="2" t="s">
        <v>217</v>
      </c>
      <c r="G54" s="2"/>
      <c r="H54" s="2" t="s">
        <v>218</v>
      </c>
      <c r="I54" s="2" t="s">
        <v>139</v>
      </c>
      <c r="J54" s="2">
        <v>6</v>
      </c>
      <c r="K54" s="2"/>
      <c r="L54" s="2" t="s">
        <v>41</v>
      </c>
      <c r="M54" s="2" t="s">
        <v>128</v>
      </c>
      <c r="N54" s="2" t="s">
        <v>88</v>
      </c>
      <c r="O54" s="2"/>
      <c r="P54" s="2" t="s">
        <v>128</v>
      </c>
    </row>
    <row r="55" spans="1:16">
      <c r="A55" s="2"/>
      <c r="B55" s="2" t="s">
        <v>219</v>
      </c>
      <c r="C55" s="2" t="s">
        <v>14</v>
      </c>
      <c r="D55" s="2" t="s">
        <v>118</v>
      </c>
      <c r="E55" s="2"/>
      <c r="F55" s="2" t="s">
        <v>220</v>
      </c>
      <c r="G55" s="2"/>
      <c r="H55" s="2" t="s">
        <v>221</v>
      </c>
      <c r="I55" s="2" t="s">
        <v>139</v>
      </c>
      <c r="J55" s="2">
        <v>28</v>
      </c>
      <c r="K55" s="2"/>
      <c r="L55" s="2" t="s">
        <v>41</v>
      </c>
      <c r="M55" s="2" t="s">
        <v>128</v>
      </c>
      <c r="N55" s="2" t="s">
        <v>88</v>
      </c>
      <c r="O55" s="2"/>
      <c r="P55" s="2" t="s">
        <v>128</v>
      </c>
    </row>
    <row r="56" spans="1:16">
      <c r="A56" s="2"/>
      <c r="B56" s="2" t="s">
        <v>222</v>
      </c>
      <c r="C56" s="2" t="s">
        <v>14</v>
      </c>
      <c r="D56" s="2" t="s">
        <v>119</v>
      </c>
      <c r="E56" s="2"/>
      <c r="F56" s="2" t="s">
        <v>223</v>
      </c>
      <c r="G56" s="2"/>
      <c r="H56" s="2" t="s">
        <v>224</v>
      </c>
      <c r="I56" s="2" t="s">
        <v>139</v>
      </c>
      <c r="J56" s="2">
        <v>20</v>
      </c>
      <c r="K56" s="2"/>
      <c r="L56" s="2" t="s">
        <v>41</v>
      </c>
      <c r="M56" s="2" t="s">
        <v>128</v>
      </c>
      <c r="N56" s="2" t="s">
        <v>88</v>
      </c>
      <c r="O56" s="2"/>
      <c r="P56" s="2" t="s">
        <v>128</v>
      </c>
    </row>
    <row r="57" spans="1:16">
      <c r="A57" s="2"/>
      <c r="B57" s="2" t="s">
        <v>225</v>
      </c>
      <c r="C57" s="2" t="s">
        <v>14</v>
      </c>
      <c r="D57" s="2" t="s">
        <v>120</v>
      </c>
      <c r="E57" s="2"/>
      <c r="F57" s="2" t="s">
        <v>217</v>
      </c>
      <c r="G57" s="2"/>
      <c r="H57" s="2" t="s">
        <v>226</v>
      </c>
      <c r="I57" s="2" t="s">
        <v>139</v>
      </c>
      <c r="J57" s="2">
        <v>32</v>
      </c>
      <c r="K57" s="2"/>
      <c r="L57" s="2" t="s">
        <v>41</v>
      </c>
      <c r="M57" s="2" t="s">
        <v>128</v>
      </c>
      <c r="N57" s="2" t="s">
        <v>88</v>
      </c>
      <c r="O57" s="2"/>
      <c r="P57" s="2" t="s">
        <v>128</v>
      </c>
    </row>
    <row r="58" spans="1:16">
      <c r="A58" s="2"/>
      <c r="B58" s="2" t="s">
        <v>227</v>
      </c>
      <c r="C58" s="2" t="s">
        <v>93</v>
      </c>
      <c r="D58" s="2" t="s">
        <v>118</v>
      </c>
      <c r="E58" s="2"/>
      <c r="F58" s="2" t="s">
        <v>220</v>
      </c>
      <c r="G58" s="2"/>
      <c r="H58" s="2" t="s">
        <v>228</v>
      </c>
      <c r="I58" s="2" t="s">
        <v>139</v>
      </c>
      <c r="J58" s="2">
        <v>34</v>
      </c>
      <c r="K58" s="2"/>
      <c r="L58" s="2" t="s">
        <v>41</v>
      </c>
      <c r="M58" s="2" t="s">
        <v>128</v>
      </c>
      <c r="N58" s="2" t="s">
        <v>88</v>
      </c>
      <c r="O58" s="2"/>
      <c r="P58" s="2" t="s">
        <v>128</v>
      </c>
    </row>
    <row r="59" spans="1:16">
      <c r="A59" s="2"/>
      <c r="B59" s="2" t="s">
        <v>229</v>
      </c>
      <c r="C59" s="2" t="s">
        <v>42</v>
      </c>
      <c r="D59" s="2" t="s">
        <v>118</v>
      </c>
      <c r="E59" s="2"/>
      <c r="F59" s="2" t="s">
        <v>230</v>
      </c>
      <c r="G59" s="2"/>
      <c r="H59" s="2" t="s">
        <v>231</v>
      </c>
      <c r="I59" s="2" t="s">
        <v>139</v>
      </c>
      <c r="J59" s="2">
        <v>54</v>
      </c>
      <c r="K59" s="2"/>
      <c r="L59" s="2" t="s">
        <v>41</v>
      </c>
      <c r="M59" s="2" t="s">
        <v>128</v>
      </c>
      <c r="N59" s="2" t="s">
        <v>88</v>
      </c>
      <c r="O59" s="2"/>
      <c r="P59" s="2" t="s">
        <v>128</v>
      </c>
    </row>
    <row r="60" spans="1:16">
      <c r="A60" s="2"/>
      <c r="B60" s="2" t="s">
        <v>232</v>
      </c>
      <c r="C60" s="2" t="s">
        <v>42</v>
      </c>
      <c r="D60" s="2" t="s">
        <v>120</v>
      </c>
      <c r="E60" s="2"/>
      <c r="F60" s="2" t="s">
        <v>233</v>
      </c>
      <c r="G60" s="2"/>
      <c r="H60" s="2" t="s">
        <v>234</v>
      </c>
      <c r="I60" s="2" t="s">
        <v>139</v>
      </c>
      <c r="J60" s="2">
        <v>56</v>
      </c>
      <c r="K60" s="2"/>
      <c r="L60" s="2" t="s">
        <v>41</v>
      </c>
      <c r="M60" s="2" t="s">
        <v>128</v>
      </c>
      <c r="N60" s="2" t="s">
        <v>88</v>
      </c>
      <c r="O60" s="2"/>
      <c r="P60" s="2" t="s">
        <v>128</v>
      </c>
    </row>
    <row r="61" spans="1:16">
      <c r="A61" s="2"/>
      <c r="B61" s="2" t="s">
        <v>235</v>
      </c>
      <c r="C61" s="2" t="s">
        <v>42</v>
      </c>
      <c r="D61" s="2" t="s">
        <v>121</v>
      </c>
      <c r="E61" s="2"/>
      <c r="F61" s="2" t="s">
        <v>236</v>
      </c>
      <c r="G61" s="2"/>
      <c r="H61" s="2" t="s">
        <v>237</v>
      </c>
      <c r="I61" s="2" t="s">
        <v>139</v>
      </c>
      <c r="J61" s="2">
        <v>78</v>
      </c>
      <c r="K61" s="2"/>
      <c r="L61" s="2" t="s">
        <v>41</v>
      </c>
      <c r="M61" s="2" t="s">
        <v>128</v>
      </c>
      <c r="N61" s="2" t="s">
        <v>88</v>
      </c>
      <c r="O61" s="2"/>
      <c r="P61" s="2" t="s">
        <v>128</v>
      </c>
    </row>
    <row r="62" spans="1:16">
      <c r="A62" s="2"/>
      <c r="B62" s="2" t="s">
        <v>238</v>
      </c>
      <c r="C62" s="2" t="s">
        <v>42</v>
      </c>
      <c r="D62" s="2" t="s">
        <v>122</v>
      </c>
      <c r="E62" s="2"/>
      <c r="F62" s="2" t="s">
        <v>67</v>
      </c>
      <c r="G62" s="2"/>
      <c r="H62" s="2" t="s">
        <v>239</v>
      </c>
      <c r="I62" s="2" t="s">
        <v>139</v>
      </c>
      <c r="J62" s="2">
        <v>80</v>
      </c>
      <c r="K62" s="2"/>
      <c r="L62" s="2" t="s">
        <v>41</v>
      </c>
      <c r="M62" s="2" t="s">
        <v>128</v>
      </c>
      <c r="N62" s="2" t="s">
        <v>88</v>
      </c>
      <c r="O62" s="2"/>
      <c r="P62" s="2" t="s">
        <v>128</v>
      </c>
    </row>
    <row r="63" spans="1:16">
      <c r="A63" s="2"/>
      <c r="B63" s="2" t="s">
        <v>240</v>
      </c>
      <c r="C63" s="2" t="s">
        <v>94</v>
      </c>
      <c r="D63" s="2" t="s">
        <v>118</v>
      </c>
      <c r="E63" s="2"/>
      <c r="F63" s="2" t="s">
        <v>241</v>
      </c>
      <c r="G63" s="2"/>
      <c r="H63" s="2" t="s">
        <v>242</v>
      </c>
      <c r="I63" s="2" t="s">
        <v>139</v>
      </c>
      <c r="J63" s="2">
        <v>102</v>
      </c>
      <c r="K63" s="2"/>
      <c r="L63" s="2" t="s">
        <v>41</v>
      </c>
      <c r="M63" s="2" t="s">
        <v>128</v>
      </c>
      <c r="N63" s="2" t="s">
        <v>88</v>
      </c>
      <c r="O63" s="2"/>
      <c r="P63" s="2" t="s">
        <v>128</v>
      </c>
    </row>
    <row r="64" spans="1:16">
      <c r="A64" s="2"/>
      <c r="B64" s="2" t="s">
        <v>243</v>
      </c>
      <c r="C64" s="2" t="s">
        <v>94</v>
      </c>
      <c r="D64" s="2" t="s">
        <v>123</v>
      </c>
      <c r="E64" s="2"/>
      <c r="F64" s="2" t="s">
        <v>244</v>
      </c>
      <c r="G64" s="2"/>
      <c r="H64" s="2" t="s">
        <v>245</v>
      </c>
      <c r="I64" s="2" t="s">
        <v>139</v>
      </c>
      <c r="J64" s="2">
        <v>104</v>
      </c>
      <c r="K64" s="2"/>
      <c r="L64" s="2" t="s">
        <v>41</v>
      </c>
      <c r="M64" s="2" t="s">
        <v>128</v>
      </c>
      <c r="N64" s="2" t="s">
        <v>88</v>
      </c>
      <c r="O64" s="2"/>
      <c r="P64" s="2" t="s">
        <v>128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D8F9-948A-43D8-9AE8-DCDD3A0CABC6}">
  <dimension ref="A1:T64"/>
  <sheetViews>
    <sheetView workbookViewId="0">
      <selection activeCell="H6" sqref="A1:P64"/>
    </sheetView>
  </sheetViews>
  <sheetFormatPr defaultRowHeight="14.25"/>
  <cols>
    <col min="1" max="1" width="3.875" style="2" bestFit="1" customWidth="1"/>
    <col min="2" max="2" width="32" style="2" bestFit="1" customWidth="1"/>
    <col min="3" max="3" width="11.375" style="2" bestFit="1" customWidth="1"/>
    <col min="4" max="4" width="26.25" style="2" bestFit="1" customWidth="1"/>
    <col min="5" max="5" width="12.125" style="2" bestFit="1" customWidth="1"/>
    <col min="6" max="6" width="16.25" style="2" bestFit="1" customWidth="1"/>
    <col min="7" max="7" width="10.625" style="2" bestFit="1" customWidth="1"/>
    <col min="8" max="8" width="13.5" style="2" bestFit="1" customWidth="1"/>
    <col min="9" max="9" width="17.5" style="2" bestFit="1" customWidth="1"/>
    <col min="10" max="10" width="6.25" style="2" bestFit="1" customWidth="1"/>
    <col min="11" max="11" width="8.25" style="2" bestFit="1" customWidth="1"/>
    <col min="12" max="12" width="11.625" style="2" bestFit="1" customWidth="1"/>
    <col min="13" max="13" width="7.125" style="2" bestFit="1" customWidth="1"/>
    <col min="14" max="14" width="10.625" style="2" bestFit="1" customWidth="1"/>
    <col min="15" max="15" width="8.25" style="2" bestFit="1" customWidth="1"/>
    <col min="16" max="16" width="9.25" style="2" bestFit="1" customWidth="1"/>
    <col min="17" max="17" width="9" style="2"/>
    <col min="18" max="19" width="7.125" style="2" bestFit="1" customWidth="1"/>
    <col min="20" max="20" width="15.5" style="2" customWidth="1"/>
    <col min="21" max="16384" width="9" style="2"/>
  </cols>
  <sheetData>
    <row r="1" spans="1:20">
      <c r="A1" s="2" t="s">
        <v>11</v>
      </c>
      <c r="B1" s="2" t="s">
        <v>36</v>
      </c>
      <c r="C1" s="2" t="s">
        <v>12</v>
      </c>
      <c r="D1" s="2" t="s">
        <v>0</v>
      </c>
      <c r="E1" s="2" t="s">
        <v>17</v>
      </c>
      <c r="F1" s="2" t="s">
        <v>32</v>
      </c>
      <c r="G1" s="2" t="s">
        <v>1</v>
      </c>
      <c r="H1" s="2" t="s">
        <v>2</v>
      </c>
      <c r="I1" s="2" t="s">
        <v>3</v>
      </c>
      <c r="J1" s="2" t="s">
        <v>10</v>
      </c>
      <c r="K1" s="2" t="s">
        <v>30</v>
      </c>
      <c r="L1" s="2" t="s">
        <v>38</v>
      </c>
      <c r="M1" s="2" t="s">
        <v>34</v>
      </c>
      <c r="N1" s="2" t="s">
        <v>4</v>
      </c>
      <c r="O1" s="2" t="s">
        <v>9</v>
      </c>
      <c r="P1" s="2" t="s">
        <v>28</v>
      </c>
      <c r="R1" s="2" t="s">
        <v>6</v>
      </c>
      <c r="S1" s="2" t="s">
        <v>8</v>
      </c>
      <c r="T1" s="2" t="s">
        <v>43</v>
      </c>
    </row>
    <row r="2" spans="1:20">
      <c r="A2" s="2">
        <v>1</v>
      </c>
      <c r="B2" s="2" t="str">
        <f>_xlfn.CONCAT(C2,".",D2)</f>
        <v>BZJ01.HeartBreak</v>
      </c>
      <c r="C2" s="2" t="s">
        <v>90</v>
      </c>
      <c r="D2" s="2" t="s">
        <v>25</v>
      </c>
      <c r="E2" s="2" t="s">
        <v>18</v>
      </c>
      <c r="F2" s="2" t="s">
        <v>124</v>
      </c>
      <c r="H2" s="2" t="str">
        <f>_xlfn.CONCAT(R2,S2,".",J2,IF(ISBLANK(K2),"",_xlfn.CONCAT(".",K2)))</f>
        <v>DB200.0</v>
      </c>
      <c r="I2" s="2" t="s">
        <v>81</v>
      </c>
      <c r="J2" s="2">
        <v>0</v>
      </c>
      <c r="L2" s="2" t="s">
        <v>15</v>
      </c>
      <c r="M2" s="2" t="str">
        <f t="shared" ref="M2:M5" si="0">IF(I2="STRING",64,"")</f>
        <v/>
      </c>
      <c r="N2" s="2" t="s">
        <v>5</v>
      </c>
      <c r="O2" s="2">
        <v>1</v>
      </c>
      <c r="P2" s="2" t="str">
        <f>IF( ISNUMBER(SEARCH("允许读码", F2)),TRUE,"")</f>
        <v/>
      </c>
      <c r="R2" s="2" t="s">
        <v>7</v>
      </c>
      <c r="S2" s="2">
        <v>200</v>
      </c>
    </row>
    <row r="3" spans="1:20">
      <c r="A3" s="2">
        <v>2</v>
      </c>
      <c r="B3" s="2" t="str">
        <f>_xlfn.CONCAT(C3,".",D3)</f>
        <v>SDJ01.ReadBagPickerCodeEnabled</v>
      </c>
      <c r="C3" s="2" t="s">
        <v>24</v>
      </c>
      <c r="D3" s="2" t="s">
        <v>95</v>
      </c>
      <c r="E3" s="2" t="s">
        <v>18</v>
      </c>
      <c r="F3" s="2" t="s">
        <v>125</v>
      </c>
      <c r="H3" s="2" t="str">
        <f t="shared" ref="H3:H64" si="1">_xlfn.CONCAT(R3,S3,".",J3,IF(ISBLANK(K3),"",_xlfn.CONCAT(".",K3)))</f>
        <v>DB200.2</v>
      </c>
      <c r="I3" s="2" t="s">
        <v>81</v>
      </c>
      <c r="J3" s="2">
        <v>2</v>
      </c>
      <c r="L3" s="2" t="s">
        <v>15</v>
      </c>
      <c r="M3" s="2" t="str">
        <f t="shared" si="0"/>
        <v/>
      </c>
      <c r="N3" s="2" t="s">
        <v>5</v>
      </c>
      <c r="O3" s="2">
        <v>1</v>
      </c>
      <c r="P3" s="2" t="b">
        <f t="shared" ref="P3:P63" si="2">IF( ISNUMBER(SEARCH("允许读码", F3)),TRUE,"")</f>
        <v>1</v>
      </c>
      <c r="R3" s="2" t="s">
        <v>7</v>
      </c>
      <c r="S3" s="2">
        <v>200</v>
      </c>
    </row>
    <row r="4" spans="1:20">
      <c r="A4" s="2">
        <v>3</v>
      </c>
      <c r="B4" s="2" t="str">
        <f>_xlfn.CONCAT(C4,".",D4)</f>
        <v>SDJ01.CurrentBagPickerCode</v>
      </c>
      <c r="C4" s="2" t="s">
        <v>24</v>
      </c>
      <c r="D4" s="2" t="s">
        <v>96</v>
      </c>
      <c r="E4" s="2" t="s">
        <v>18</v>
      </c>
      <c r="F4" s="2" t="s">
        <v>71</v>
      </c>
      <c r="H4" s="2" t="str">
        <f t="shared" si="1"/>
        <v>DB200.4</v>
      </c>
      <c r="I4" s="2" t="s">
        <v>82</v>
      </c>
      <c r="J4" s="2">
        <v>4</v>
      </c>
      <c r="L4" s="2" t="s">
        <v>15</v>
      </c>
      <c r="M4" s="2">
        <f t="shared" si="0"/>
        <v>64</v>
      </c>
      <c r="N4" s="2" t="s">
        <v>5</v>
      </c>
      <c r="O4" s="2">
        <v>1</v>
      </c>
      <c r="P4" s="2" t="str">
        <f t="shared" si="2"/>
        <v/>
      </c>
      <c r="R4" s="2" t="s">
        <v>7</v>
      </c>
      <c r="S4" s="2">
        <v>200</v>
      </c>
    </row>
    <row r="5" spans="1:20">
      <c r="A5" s="2">
        <v>4</v>
      </c>
      <c r="B5" s="2" t="str">
        <f t="shared" ref="B5:B64" si="3">_xlfn.CONCAT(C5,".",D5)</f>
        <v>SDJ01.ReadBaggingCodeEnabled</v>
      </c>
      <c r="C5" s="2" t="s">
        <v>24</v>
      </c>
      <c r="D5" s="2" t="s">
        <v>97</v>
      </c>
      <c r="E5" s="2" t="s">
        <v>18</v>
      </c>
      <c r="F5" s="2" t="s">
        <v>72</v>
      </c>
      <c r="H5" s="2" t="str">
        <f t="shared" si="1"/>
        <v>DB200.90</v>
      </c>
      <c r="I5" s="2" t="s">
        <v>81</v>
      </c>
      <c r="J5" s="2">
        <v>90</v>
      </c>
      <c r="L5" s="2" t="s">
        <v>15</v>
      </c>
      <c r="M5" s="2" t="str">
        <f t="shared" si="0"/>
        <v/>
      </c>
      <c r="N5" s="2" t="s">
        <v>5</v>
      </c>
      <c r="O5" s="2">
        <v>1</v>
      </c>
      <c r="P5" s="2" t="b">
        <f t="shared" si="2"/>
        <v>1</v>
      </c>
      <c r="R5" s="2" t="s">
        <v>7</v>
      </c>
      <c r="S5" s="2">
        <v>200</v>
      </c>
    </row>
    <row r="6" spans="1:20">
      <c r="A6" s="2">
        <v>5</v>
      </c>
      <c r="B6" s="2" t="str">
        <f t="shared" si="3"/>
        <v>SDJ01.CurrentBaggingCode</v>
      </c>
      <c r="C6" s="2" t="s">
        <v>24</v>
      </c>
      <c r="D6" s="2" t="s">
        <v>98</v>
      </c>
      <c r="E6" s="2" t="s">
        <v>18</v>
      </c>
      <c r="F6" s="2" t="s">
        <v>73</v>
      </c>
      <c r="H6" s="2" t="str">
        <f t="shared" si="1"/>
        <v>DB200.92</v>
      </c>
      <c r="I6" s="2" t="s">
        <v>82</v>
      </c>
      <c r="J6" s="2">
        <v>92</v>
      </c>
      <c r="L6" s="2" t="s">
        <v>15</v>
      </c>
      <c r="M6" s="2">
        <f>IF(I6="STRING",64,"")</f>
        <v>64</v>
      </c>
      <c r="N6" s="2" t="s">
        <v>5</v>
      </c>
      <c r="O6" s="2">
        <v>1</v>
      </c>
      <c r="P6" s="2" t="str">
        <f t="shared" si="2"/>
        <v/>
      </c>
      <c r="R6" s="2" t="s">
        <v>7</v>
      </c>
      <c r="S6" s="2">
        <v>200</v>
      </c>
    </row>
    <row r="7" spans="1:20">
      <c r="A7" s="2">
        <v>6</v>
      </c>
      <c r="B7" s="2" t="str">
        <f t="shared" si="3"/>
        <v>SDJ01.CurrentBaggingNo</v>
      </c>
      <c r="C7" s="2" t="s">
        <v>24</v>
      </c>
      <c r="D7" s="2" t="s">
        <v>99</v>
      </c>
      <c r="E7" s="2" t="s">
        <v>18</v>
      </c>
      <c r="F7" s="2" t="s">
        <v>74</v>
      </c>
      <c r="H7" s="2" t="str">
        <f t="shared" si="1"/>
        <v>DB200.158</v>
      </c>
      <c r="I7" s="2" t="s">
        <v>83</v>
      </c>
      <c r="J7" s="2">
        <v>158</v>
      </c>
      <c r="L7" s="2" t="s">
        <v>15</v>
      </c>
      <c r="M7" s="2" t="str">
        <f t="shared" ref="M7:M64" si="4">IF(I7="STRING",64,"")</f>
        <v/>
      </c>
      <c r="N7" s="2" t="s">
        <v>5</v>
      </c>
      <c r="O7" s="2">
        <v>1</v>
      </c>
      <c r="P7" s="2" t="str">
        <f t="shared" si="2"/>
        <v/>
      </c>
      <c r="R7" s="2" t="s">
        <v>7</v>
      </c>
      <c r="S7" s="2">
        <v>200</v>
      </c>
    </row>
    <row r="8" spans="1:20">
      <c r="A8" s="2">
        <v>7</v>
      </c>
      <c r="B8" s="2" t="str">
        <f t="shared" si="3"/>
        <v>SDJ01.BaggingStatus</v>
      </c>
      <c r="C8" s="2" t="s">
        <v>24</v>
      </c>
      <c r="D8" s="2" t="s">
        <v>100</v>
      </c>
      <c r="E8" s="2" t="s">
        <v>18</v>
      </c>
      <c r="F8" s="2" t="s">
        <v>75</v>
      </c>
      <c r="H8" s="2" t="str">
        <f t="shared" si="1"/>
        <v>DB200.160</v>
      </c>
      <c r="I8" s="2" t="s">
        <v>83</v>
      </c>
      <c r="J8" s="2">
        <v>160</v>
      </c>
      <c r="L8" s="2" t="s">
        <v>15</v>
      </c>
      <c r="M8" s="2" t="str">
        <f t="shared" si="4"/>
        <v/>
      </c>
      <c r="N8" s="2" t="s">
        <v>5</v>
      </c>
      <c r="O8" s="2">
        <v>1</v>
      </c>
      <c r="P8" s="2" t="str">
        <f t="shared" si="2"/>
        <v/>
      </c>
      <c r="R8" s="2" t="s">
        <v>7</v>
      </c>
      <c r="S8" s="2">
        <v>200</v>
      </c>
    </row>
    <row r="9" spans="1:20">
      <c r="A9" s="2">
        <v>8</v>
      </c>
      <c r="B9" s="2" t="str">
        <f t="shared" si="3"/>
        <v>SDJ01.ReadBagTakeCodeEnable</v>
      </c>
      <c r="C9" s="2" t="s">
        <v>24</v>
      </c>
      <c r="D9" s="2" t="s">
        <v>101</v>
      </c>
      <c r="E9" s="2" t="s">
        <v>18</v>
      </c>
      <c r="F9" s="2" t="s">
        <v>70</v>
      </c>
      <c r="H9" s="2" t="str">
        <f t="shared" si="1"/>
        <v>DB200.182</v>
      </c>
      <c r="I9" s="2" t="s">
        <v>81</v>
      </c>
      <c r="J9" s="2">
        <v>182</v>
      </c>
      <c r="L9" s="2" t="s">
        <v>15</v>
      </c>
      <c r="M9" s="2" t="str">
        <f t="shared" si="4"/>
        <v/>
      </c>
      <c r="N9" s="2" t="s">
        <v>5</v>
      </c>
      <c r="O9" s="2">
        <v>1</v>
      </c>
      <c r="P9" s="2" t="b">
        <f t="shared" si="2"/>
        <v>1</v>
      </c>
      <c r="R9" s="2" t="s">
        <v>7</v>
      </c>
      <c r="S9" s="2">
        <v>200</v>
      </c>
    </row>
    <row r="10" spans="1:20">
      <c r="A10" s="2">
        <v>9</v>
      </c>
      <c r="B10" s="2" t="str">
        <f t="shared" si="3"/>
        <v>SDJ01.CurrentBagTakeCode</v>
      </c>
      <c r="C10" s="2" t="s">
        <v>24</v>
      </c>
      <c r="D10" s="2" t="s">
        <v>102</v>
      </c>
      <c r="E10" s="2" t="s">
        <v>18</v>
      </c>
      <c r="F10" s="2" t="s">
        <v>71</v>
      </c>
      <c r="H10" s="2" t="str">
        <f t="shared" si="1"/>
        <v>DB200.184</v>
      </c>
      <c r="I10" s="2" t="s">
        <v>82</v>
      </c>
      <c r="J10" s="2">
        <v>184</v>
      </c>
      <c r="L10" s="2" t="s">
        <v>15</v>
      </c>
      <c r="M10" s="2">
        <f t="shared" si="4"/>
        <v>64</v>
      </c>
      <c r="N10" s="2" t="s">
        <v>5</v>
      </c>
      <c r="O10" s="2">
        <v>1</v>
      </c>
      <c r="P10" s="2" t="str">
        <f t="shared" si="2"/>
        <v/>
      </c>
      <c r="R10" s="2" t="s">
        <v>7</v>
      </c>
      <c r="S10" s="2">
        <v>200</v>
      </c>
    </row>
    <row r="11" spans="1:20">
      <c r="A11" s="2">
        <v>10</v>
      </c>
      <c r="B11" s="2" t="str">
        <f t="shared" si="3"/>
        <v>SDJ01.CurrentBagTakeNo</v>
      </c>
      <c r="C11" s="2" t="s">
        <v>24</v>
      </c>
      <c r="D11" s="2" t="s">
        <v>103</v>
      </c>
      <c r="E11" s="2" t="s">
        <v>18</v>
      </c>
      <c r="F11" s="2" t="s">
        <v>76</v>
      </c>
      <c r="H11" s="2" t="str">
        <f t="shared" si="1"/>
        <v>DB200.250</v>
      </c>
      <c r="I11" s="2" t="s">
        <v>83</v>
      </c>
      <c r="J11" s="2">
        <v>250</v>
      </c>
      <c r="L11" s="2" t="s">
        <v>15</v>
      </c>
      <c r="M11" s="2" t="str">
        <f t="shared" si="4"/>
        <v/>
      </c>
      <c r="N11" s="2" t="s">
        <v>5</v>
      </c>
      <c r="O11" s="2">
        <v>1</v>
      </c>
      <c r="P11" s="2" t="str">
        <f t="shared" si="2"/>
        <v/>
      </c>
      <c r="R11" s="2" t="s">
        <v>7</v>
      </c>
      <c r="S11" s="2">
        <v>200</v>
      </c>
    </row>
    <row r="12" spans="1:20">
      <c r="A12" s="2">
        <v>11</v>
      </c>
      <c r="B12" s="2" t="str">
        <f t="shared" si="3"/>
        <v>SDJ01.PackageTime</v>
      </c>
      <c r="C12" s="2" t="s">
        <v>24</v>
      </c>
      <c r="D12" s="2" t="s">
        <v>104</v>
      </c>
      <c r="E12" s="2" t="s">
        <v>18</v>
      </c>
      <c r="F12" s="2" t="s">
        <v>77</v>
      </c>
      <c r="H12" s="2" t="str">
        <f t="shared" si="1"/>
        <v>DB200.252</v>
      </c>
      <c r="I12" s="2" t="s">
        <v>83</v>
      </c>
      <c r="J12" s="2">
        <v>252</v>
      </c>
      <c r="L12" s="2" t="s">
        <v>15</v>
      </c>
      <c r="M12" s="2" t="str">
        <f t="shared" si="4"/>
        <v/>
      </c>
      <c r="N12" s="2" t="s">
        <v>5</v>
      </c>
      <c r="O12" s="2">
        <v>1</v>
      </c>
      <c r="P12" s="2" t="str">
        <f t="shared" si="2"/>
        <v/>
      </c>
      <c r="R12" s="2" t="s">
        <v>7</v>
      </c>
      <c r="S12" s="2">
        <v>200</v>
      </c>
    </row>
    <row r="13" spans="1:20">
      <c r="A13" s="2">
        <v>12</v>
      </c>
      <c r="B13" s="2" t="str">
        <f t="shared" si="3"/>
        <v>SDJ01.PackageWeight</v>
      </c>
      <c r="C13" s="2" t="s">
        <v>24</v>
      </c>
      <c r="D13" s="2" t="s">
        <v>105</v>
      </c>
      <c r="E13" s="2" t="s">
        <v>18</v>
      </c>
      <c r="F13" s="2" t="s">
        <v>78</v>
      </c>
      <c r="H13" s="2" t="str">
        <f t="shared" si="1"/>
        <v>DB200.254</v>
      </c>
      <c r="I13" s="2" t="s">
        <v>84</v>
      </c>
      <c r="J13" s="2">
        <v>254</v>
      </c>
      <c r="L13" s="2" t="s">
        <v>15</v>
      </c>
      <c r="M13" s="2" t="str">
        <f t="shared" si="4"/>
        <v/>
      </c>
      <c r="N13" s="2" t="s">
        <v>5</v>
      </c>
      <c r="O13" s="2">
        <v>1</v>
      </c>
      <c r="P13" s="2" t="str">
        <f t="shared" si="2"/>
        <v/>
      </c>
      <c r="R13" s="2" t="s">
        <v>7</v>
      </c>
      <c r="S13" s="2">
        <v>200</v>
      </c>
    </row>
    <row r="14" spans="1:20">
      <c r="A14" s="2">
        <v>13</v>
      </c>
      <c r="B14" s="2" t="str">
        <f t="shared" si="3"/>
        <v>SDJ01.HeartBreakWrite</v>
      </c>
      <c r="C14" s="2" t="s">
        <v>24</v>
      </c>
      <c r="D14" s="2" t="s">
        <v>106</v>
      </c>
      <c r="E14" s="2" t="s">
        <v>18</v>
      </c>
      <c r="F14" s="2" t="s">
        <v>26</v>
      </c>
      <c r="H14" s="2" t="str">
        <f t="shared" si="1"/>
        <v>DB201.0</v>
      </c>
      <c r="I14" s="2" t="s">
        <v>81</v>
      </c>
      <c r="J14" s="2">
        <v>0</v>
      </c>
      <c r="L14" s="2" t="s">
        <v>27</v>
      </c>
      <c r="M14" s="2" t="str">
        <f t="shared" si="4"/>
        <v/>
      </c>
      <c r="N14" s="2" t="s">
        <v>5</v>
      </c>
      <c r="O14" s="2">
        <v>1</v>
      </c>
      <c r="P14" s="2" t="str">
        <f t="shared" si="2"/>
        <v/>
      </c>
      <c r="R14" s="2" t="s">
        <v>7</v>
      </c>
      <c r="S14" s="2">
        <v>201</v>
      </c>
    </row>
    <row r="15" spans="1:20">
      <c r="A15" s="2">
        <v>14</v>
      </c>
      <c r="B15" s="2" t="str">
        <f t="shared" si="3"/>
        <v>SDJ01.BagPickerCodeReaded</v>
      </c>
      <c r="C15" s="2" t="s">
        <v>24</v>
      </c>
      <c r="D15" s="2" t="s">
        <v>107</v>
      </c>
      <c r="E15" s="2" t="s">
        <v>18</v>
      </c>
      <c r="F15" s="2" t="s">
        <v>44</v>
      </c>
      <c r="H15" s="2" t="str">
        <f t="shared" si="1"/>
        <v>DB201.2</v>
      </c>
      <c r="I15" s="2" t="s">
        <v>83</v>
      </c>
      <c r="J15" s="2">
        <v>2</v>
      </c>
      <c r="L15" s="2" t="s">
        <v>27</v>
      </c>
      <c r="M15" s="2" t="str">
        <f t="shared" si="4"/>
        <v/>
      </c>
      <c r="N15" s="2" t="s">
        <v>5</v>
      </c>
      <c r="O15" s="2">
        <v>1</v>
      </c>
      <c r="P15" s="2" t="str">
        <f t="shared" si="2"/>
        <v/>
      </c>
      <c r="R15" s="2" t="s">
        <v>7</v>
      </c>
      <c r="S15" s="2">
        <v>201</v>
      </c>
    </row>
    <row r="16" spans="1:20">
      <c r="A16" s="2">
        <v>15</v>
      </c>
      <c r="B16" s="2" t="str">
        <f t="shared" si="3"/>
        <v>SDJ01.BaggingCodeReaded</v>
      </c>
      <c r="C16" s="2" t="s">
        <v>24</v>
      </c>
      <c r="D16" s="2" t="s">
        <v>108</v>
      </c>
      <c r="E16" s="2" t="s">
        <v>18</v>
      </c>
      <c r="F16" s="2" t="s">
        <v>79</v>
      </c>
      <c r="H16" s="2" t="str">
        <f t="shared" si="1"/>
        <v>DB201.24</v>
      </c>
      <c r="I16" s="2" t="s">
        <v>83</v>
      </c>
      <c r="J16" s="2">
        <v>24</v>
      </c>
      <c r="L16" s="2" t="s">
        <v>27</v>
      </c>
      <c r="M16" s="2" t="str">
        <f t="shared" si="4"/>
        <v/>
      </c>
      <c r="N16" s="2" t="s">
        <v>5</v>
      </c>
      <c r="O16" s="2">
        <v>1</v>
      </c>
      <c r="P16" s="2" t="str">
        <f t="shared" si="2"/>
        <v/>
      </c>
      <c r="R16" s="2" t="s">
        <v>7</v>
      </c>
      <c r="S16" s="2">
        <v>201</v>
      </c>
    </row>
    <row r="17" spans="1:19">
      <c r="A17" s="2">
        <v>16</v>
      </c>
      <c r="B17" s="2" t="str">
        <f t="shared" si="3"/>
        <v>SDJ01.BagTakeCodeReaded</v>
      </c>
      <c r="C17" s="2" t="s">
        <v>24</v>
      </c>
      <c r="D17" s="2" t="s">
        <v>109</v>
      </c>
      <c r="E17" s="2" t="s">
        <v>18</v>
      </c>
      <c r="F17" s="2" t="s">
        <v>80</v>
      </c>
      <c r="H17" s="2" t="str">
        <f t="shared" si="1"/>
        <v>DB201.46</v>
      </c>
      <c r="I17" s="2" t="s">
        <v>83</v>
      </c>
      <c r="J17" s="2">
        <v>46</v>
      </c>
      <c r="L17" s="2" t="s">
        <v>27</v>
      </c>
      <c r="M17" s="2" t="str">
        <f t="shared" si="4"/>
        <v/>
      </c>
      <c r="N17" s="2" t="s">
        <v>5</v>
      </c>
      <c r="O17" s="2">
        <v>1</v>
      </c>
      <c r="P17" s="2" t="str">
        <f t="shared" si="2"/>
        <v/>
      </c>
      <c r="R17" s="2" t="s">
        <v>7</v>
      </c>
      <c r="S17" s="2">
        <v>201</v>
      </c>
    </row>
    <row r="18" spans="1:19">
      <c r="A18" s="2">
        <v>17</v>
      </c>
      <c r="B18" s="2" t="str">
        <f t="shared" si="3"/>
        <v>SDJ02.HeartBreak</v>
      </c>
      <c r="C18" s="2" t="s">
        <v>13</v>
      </c>
      <c r="D18" s="2" t="s">
        <v>25</v>
      </c>
      <c r="E18" s="2" t="s">
        <v>19</v>
      </c>
      <c r="F18" s="2" t="s">
        <v>26</v>
      </c>
      <c r="H18" s="2" t="str">
        <f t="shared" si="1"/>
        <v>DB200.0</v>
      </c>
      <c r="I18" s="2" t="s">
        <v>81</v>
      </c>
      <c r="J18" s="2">
        <v>0</v>
      </c>
      <c r="L18" s="2" t="s">
        <v>15</v>
      </c>
      <c r="M18" s="2" t="str">
        <f t="shared" si="4"/>
        <v/>
      </c>
      <c r="N18" s="2" t="s">
        <v>87</v>
      </c>
      <c r="O18" s="2">
        <v>1</v>
      </c>
      <c r="P18" s="2" t="str">
        <f t="shared" si="2"/>
        <v/>
      </c>
      <c r="R18" s="2" t="s">
        <v>7</v>
      </c>
      <c r="S18" s="2">
        <v>200</v>
      </c>
    </row>
    <row r="19" spans="1:19">
      <c r="A19" s="2">
        <v>18</v>
      </c>
      <c r="B19" s="2" t="str">
        <f t="shared" si="3"/>
        <v>SDJ02.ReadBagPickerCodeEnabled</v>
      </c>
      <c r="C19" s="2" t="s">
        <v>13</v>
      </c>
      <c r="D19" s="2" t="s">
        <v>95</v>
      </c>
      <c r="E19" s="2" t="s">
        <v>19</v>
      </c>
      <c r="F19" s="2" t="s">
        <v>70</v>
      </c>
      <c r="H19" s="2" t="str">
        <f t="shared" si="1"/>
        <v>DB200.2</v>
      </c>
      <c r="I19" s="2" t="s">
        <v>81</v>
      </c>
      <c r="J19" s="2">
        <v>2</v>
      </c>
      <c r="L19" s="2" t="s">
        <v>15</v>
      </c>
      <c r="M19" s="2" t="str">
        <f t="shared" si="4"/>
        <v/>
      </c>
      <c r="N19" s="2" t="s">
        <v>87</v>
      </c>
      <c r="O19" s="2">
        <v>1</v>
      </c>
      <c r="P19" s="2" t="b">
        <f t="shared" si="2"/>
        <v>1</v>
      </c>
      <c r="R19" s="2" t="s">
        <v>7</v>
      </c>
      <c r="S19" s="2">
        <v>200</v>
      </c>
    </row>
    <row r="20" spans="1:19">
      <c r="A20" s="2">
        <v>19</v>
      </c>
      <c r="B20" s="2" t="str">
        <f t="shared" si="3"/>
        <v>SDJ02.CurrentBagPickerCode</v>
      </c>
      <c r="C20" s="2" t="s">
        <v>13</v>
      </c>
      <c r="D20" s="2" t="s">
        <v>96</v>
      </c>
      <c r="E20" s="2" t="s">
        <v>19</v>
      </c>
      <c r="F20" s="2" t="s">
        <v>71</v>
      </c>
      <c r="H20" s="2" t="str">
        <f t="shared" si="1"/>
        <v>DB200.4</v>
      </c>
      <c r="I20" s="2" t="s">
        <v>82</v>
      </c>
      <c r="J20" s="2">
        <v>4</v>
      </c>
      <c r="L20" s="2" t="s">
        <v>15</v>
      </c>
      <c r="M20" s="2">
        <f t="shared" si="4"/>
        <v>64</v>
      </c>
      <c r="N20" s="2" t="s">
        <v>87</v>
      </c>
      <c r="O20" s="2">
        <v>1</v>
      </c>
      <c r="P20" s="2" t="str">
        <f t="shared" si="2"/>
        <v/>
      </c>
      <c r="R20" s="2" t="s">
        <v>7</v>
      </c>
      <c r="S20" s="2">
        <v>200</v>
      </c>
    </row>
    <row r="21" spans="1:19">
      <c r="A21" s="2">
        <v>20</v>
      </c>
      <c r="B21" s="2" t="str">
        <f t="shared" si="3"/>
        <v>SDJ02.ReadBaggingCodeEnabled</v>
      </c>
      <c r="C21" s="2" t="s">
        <v>13</v>
      </c>
      <c r="D21" s="2" t="s">
        <v>97</v>
      </c>
      <c r="E21" s="2" t="s">
        <v>19</v>
      </c>
      <c r="F21" s="2" t="s">
        <v>72</v>
      </c>
      <c r="H21" s="2" t="str">
        <f t="shared" si="1"/>
        <v>DB200.90</v>
      </c>
      <c r="I21" s="2" t="s">
        <v>81</v>
      </c>
      <c r="J21" s="2">
        <v>90</v>
      </c>
      <c r="L21" s="2" t="s">
        <v>15</v>
      </c>
      <c r="M21" s="2" t="str">
        <f t="shared" si="4"/>
        <v/>
      </c>
      <c r="N21" s="2" t="s">
        <v>87</v>
      </c>
      <c r="O21" s="2">
        <v>1</v>
      </c>
      <c r="P21" s="2" t="b">
        <f t="shared" si="2"/>
        <v>1</v>
      </c>
      <c r="R21" s="2" t="s">
        <v>7</v>
      </c>
      <c r="S21" s="2">
        <v>200</v>
      </c>
    </row>
    <row r="22" spans="1:19">
      <c r="A22" s="2">
        <v>21</v>
      </c>
      <c r="B22" s="2" t="str">
        <f t="shared" si="3"/>
        <v>SDJ02.CurrentBaggingCode</v>
      </c>
      <c r="C22" s="2" t="s">
        <v>13</v>
      </c>
      <c r="D22" s="2" t="s">
        <v>98</v>
      </c>
      <c r="E22" s="2" t="s">
        <v>19</v>
      </c>
      <c r="F22" s="2" t="s">
        <v>73</v>
      </c>
      <c r="H22" s="2" t="str">
        <f t="shared" si="1"/>
        <v>DB200.92</v>
      </c>
      <c r="I22" s="2" t="s">
        <v>82</v>
      </c>
      <c r="J22" s="2">
        <v>92</v>
      </c>
      <c r="L22" s="2" t="s">
        <v>15</v>
      </c>
      <c r="M22" s="2">
        <f t="shared" si="4"/>
        <v>64</v>
      </c>
      <c r="N22" s="2" t="s">
        <v>87</v>
      </c>
      <c r="O22" s="2">
        <v>1</v>
      </c>
      <c r="P22" s="2" t="str">
        <f t="shared" si="2"/>
        <v/>
      </c>
      <c r="R22" s="2" t="s">
        <v>7</v>
      </c>
      <c r="S22" s="2">
        <v>200</v>
      </c>
    </row>
    <row r="23" spans="1:19">
      <c r="A23" s="2">
        <v>22</v>
      </c>
      <c r="B23" s="2" t="str">
        <f t="shared" si="3"/>
        <v>SDJ02.CurrentBaggingNo</v>
      </c>
      <c r="C23" s="2" t="s">
        <v>13</v>
      </c>
      <c r="D23" s="2" t="s">
        <v>99</v>
      </c>
      <c r="E23" s="2" t="s">
        <v>19</v>
      </c>
      <c r="F23" s="2" t="s">
        <v>74</v>
      </c>
      <c r="H23" s="2" t="str">
        <f t="shared" si="1"/>
        <v>DB200.158</v>
      </c>
      <c r="I23" s="2" t="s">
        <v>83</v>
      </c>
      <c r="J23" s="2">
        <v>158</v>
      </c>
      <c r="L23" s="2" t="s">
        <v>15</v>
      </c>
      <c r="M23" s="2" t="str">
        <f t="shared" si="4"/>
        <v/>
      </c>
      <c r="N23" s="2" t="s">
        <v>87</v>
      </c>
      <c r="O23" s="2">
        <v>1</v>
      </c>
      <c r="P23" s="2" t="str">
        <f t="shared" si="2"/>
        <v/>
      </c>
      <c r="R23" s="2" t="s">
        <v>7</v>
      </c>
      <c r="S23" s="2">
        <v>200</v>
      </c>
    </row>
    <row r="24" spans="1:19">
      <c r="A24" s="2">
        <v>23</v>
      </c>
      <c r="B24" s="2" t="str">
        <f t="shared" si="3"/>
        <v>SDJ02.BaggingStatus</v>
      </c>
      <c r="C24" s="2" t="s">
        <v>13</v>
      </c>
      <c r="D24" s="2" t="s">
        <v>100</v>
      </c>
      <c r="E24" s="2" t="s">
        <v>19</v>
      </c>
      <c r="F24" s="2" t="s">
        <v>75</v>
      </c>
      <c r="H24" s="2" t="str">
        <f t="shared" si="1"/>
        <v>DB200.160</v>
      </c>
      <c r="I24" s="2" t="s">
        <v>83</v>
      </c>
      <c r="J24" s="2">
        <v>160</v>
      </c>
      <c r="L24" s="2" t="s">
        <v>15</v>
      </c>
      <c r="M24" s="2" t="str">
        <f t="shared" si="4"/>
        <v/>
      </c>
      <c r="N24" s="2" t="s">
        <v>87</v>
      </c>
      <c r="O24" s="2">
        <v>1</v>
      </c>
      <c r="P24" s="2" t="str">
        <f t="shared" si="2"/>
        <v/>
      </c>
      <c r="R24" s="2" t="s">
        <v>7</v>
      </c>
      <c r="S24" s="2">
        <v>200</v>
      </c>
    </row>
    <row r="25" spans="1:19">
      <c r="A25" s="2">
        <v>24</v>
      </c>
      <c r="B25" s="2" t="str">
        <f t="shared" si="3"/>
        <v>SDJ02.ReadBagTakeCodeEnable</v>
      </c>
      <c r="C25" s="2" t="s">
        <v>13</v>
      </c>
      <c r="D25" s="2" t="s">
        <v>101</v>
      </c>
      <c r="E25" s="2" t="s">
        <v>19</v>
      </c>
      <c r="F25" s="2" t="s">
        <v>70</v>
      </c>
      <c r="H25" s="2" t="str">
        <f t="shared" si="1"/>
        <v>DB200.182</v>
      </c>
      <c r="I25" s="2" t="s">
        <v>81</v>
      </c>
      <c r="J25" s="2">
        <v>182</v>
      </c>
      <c r="L25" s="2" t="s">
        <v>15</v>
      </c>
      <c r="M25" s="2" t="str">
        <f t="shared" si="4"/>
        <v/>
      </c>
      <c r="N25" s="2" t="s">
        <v>87</v>
      </c>
      <c r="O25" s="2">
        <v>1</v>
      </c>
      <c r="P25" s="2" t="b">
        <f t="shared" si="2"/>
        <v>1</v>
      </c>
      <c r="R25" s="2" t="s">
        <v>7</v>
      </c>
      <c r="S25" s="2">
        <v>200</v>
      </c>
    </row>
    <row r="26" spans="1:19">
      <c r="B26" s="2" t="str">
        <f t="shared" si="3"/>
        <v>SDJ02.CurrentBagTakeCode</v>
      </c>
      <c r="C26" s="2" t="s">
        <v>13</v>
      </c>
      <c r="D26" s="2" t="s">
        <v>102</v>
      </c>
      <c r="E26" s="2" t="s">
        <v>19</v>
      </c>
      <c r="F26" s="2" t="s">
        <v>71</v>
      </c>
      <c r="H26" s="2" t="str">
        <f t="shared" si="1"/>
        <v>DB200.184</v>
      </c>
      <c r="I26" s="2" t="s">
        <v>82</v>
      </c>
      <c r="J26" s="2">
        <v>184</v>
      </c>
      <c r="L26" s="2" t="s">
        <v>15</v>
      </c>
      <c r="M26" s="2">
        <f t="shared" si="4"/>
        <v>64</v>
      </c>
      <c r="N26" s="2" t="s">
        <v>87</v>
      </c>
      <c r="P26" s="2" t="str">
        <f t="shared" si="2"/>
        <v/>
      </c>
      <c r="R26" s="2" t="s">
        <v>7</v>
      </c>
      <c r="S26" s="2">
        <v>200</v>
      </c>
    </row>
    <row r="27" spans="1:19">
      <c r="B27" s="2" t="str">
        <f t="shared" si="3"/>
        <v>SDJ02.CurrentBagTakeNo</v>
      </c>
      <c r="C27" s="2" t="s">
        <v>13</v>
      </c>
      <c r="D27" s="2" t="s">
        <v>103</v>
      </c>
      <c r="E27" s="2" t="s">
        <v>19</v>
      </c>
      <c r="F27" s="2" t="s">
        <v>76</v>
      </c>
      <c r="H27" s="2" t="str">
        <f t="shared" si="1"/>
        <v>DB200.250</v>
      </c>
      <c r="I27" s="2" t="s">
        <v>83</v>
      </c>
      <c r="J27" s="2">
        <v>250</v>
      </c>
      <c r="L27" s="2" t="s">
        <v>15</v>
      </c>
      <c r="M27" s="2" t="str">
        <f t="shared" si="4"/>
        <v/>
      </c>
      <c r="N27" s="2" t="s">
        <v>87</v>
      </c>
      <c r="P27" s="2" t="str">
        <f t="shared" si="2"/>
        <v/>
      </c>
      <c r="R27" s="2" t="s">
        <v>7</v>
      </c>
      <c r="S27" s="2">
        <v>200</v>
      </c>
    </row>
    <row r="28" spans="1:19">
      <c r="B28" s="2" t="str">
        <f t="shared" si="3"/>
        <v>SDJ02.PackageTime</v>
      </c>
      <c r="C28" s="2" t="s">
        <v>13</v>
      </c>
      <c r="D28" s="2" t="s">
        <v>104</v>
      </c>
      <c r="E28" s="2" t="s">
        <v>19</v>
      </c>
      <c r="F28" s="2" t="s">
        <v>77</v>
      </c>
      <c r="H28" s="2" t="str">
        <f t="shared" si="1"/>
        <v>DB200.252</v>
      </c>
      <c r="I28" s="2" t="s">
        <v>83</v>
      </c>
      <c r="J28" s="2">
        <v>252</v>
      </c>
      <c r="L28" s="2" t="s">
        <v>15</v>
      </c>
      <c r="M28" s="2" t="str">
        <f t="shared" si="4"/>
        <v/>
      </c>
      <c r="N28" s="2" t="s">
        <v>87</v>
      </c>
      <c r="P28" s="2" t="str">
        <f t="shared" si="2"/>
        <v/>
      </c>
      <c r="R28" s="2" t="s">
        <v>7</v>
      </c>
      <c r="S28" s="2">
        <v>200</v>
      </c>
    </row>
    <row r="29" spans="1:19">
      <c r="B29" s="2" t="str">
        <f t="shared" si="3"/>
        <v>SDJ02.PackageWeight</v>
      </c>
      <c r="C29" s="2" t="s">
        <v>13</v>
      </c>
      <c r="D29" s="2" t="s">
        <v>105</v>
      </c>
      <c r="E29" s="2" t="s">
        <v>19</v>
      </c>
      <c r="F29" s="2" t="s">
        <v>78</v>
      </c>
      <c r="H29" s="2" t="str">
        <f t="shared" si="1"/>
        <v>DB200.254</v>
      </c>
      <c r="I29" s="2" t="s">
        <v>84</v>
      </c>
      <c r="J29" s="2">
        <v>254</v>
      </c>
      <c r="L29" s="2" t="s">
        <v>15</v>
      </c>
      <c r="M29" s="2" t="str">
        <f t="shared" si="4"/>
        <v/>
      </c>
      <c r="N29" s="2" t="s">
        <v>87</v>
      </c>
      <c r="P29" s="2" t="str">
        <f t="shared" si="2"/>
        <v/>
      </c>
      <c r="R29" s="2" t="s">
        <v>7</v>
      </c>
      <c r="S29" s="2">
        <v>200</v>
      </c>
    </row>
    <row r="30" spans="1:19">
      <c r="B30" s="2" t="str">
        <f t="shared" si="3"/>
        <v>SDJ02.HeartBreakWrite</v>
      </c>
      <c r="C30" s="2" t="s">
        <v>13</v>
      </c>
      <c r="D30" s="2" t="s">
        <v>106</v>
      </c>
      <c r="E30" s="2" t="s">
        <v>19</v>
      </c>
      <c r="F30" s="2" t="s">
        <v>26</v>
      </c>
      <c r="H30" s="2" t="str">
        <f t="shared" si="1"/>
        <v>DB201.0</v>
      </c>
      <c r="I30" s="2" t="s">
        <v>81</v>
      </c>
      <c r="J30" s="2">
        <v>0</v>
      </c>
      <c r="L30" s="2" t="s">
        <v>27</v>
      </c>
      <c r="M30" s="2" t="str">
        <f t="shared" si="4"/>
        <v/>
      </c>
      <c r="N30" s="2" t="s">
        <v>87</v>
      </c>
      <c r="P30" s="2" t="str">
        <f t="shared" si="2"/>
        <v/>
      </c>
      <c r="R30" s="2" t="s">
        <v>7</v>
      </c>
      <c r="S30" s="2">
        <v>201</v>
      </c>
    </row>
    <row r="31" spans="1:19">
      <c r="B31" s="2" t="str">
        <f t="shared" si="3"/>
        <v>SDJ02.BagPickerCodeReaded</v>
      </c>
      <c r="C31" s="2" t="s">
        <v>13</v>
      </c>
      <c r="D31" s="2" t="s">
        <v>107</v>
      </c>
      <c r="E31" s="2" t="s">
        <v>19</v>
      </c>
      <c r="F31" s="2" t="s">
        <v>44</v>
      </c>
      <c r="H31" s="2" t="str">
        <f t="shared" si="1"/>
        <v>DB201.2</v>
      </c>
      <c r="I31" s="2" t="s">
        <v>83</v>
      </c>
      <c r="J31" s="2">
        <v>2</v>
      </c>
      <c r="L31" s="2" t="s">
        <v>27</v>
      </c>
      <c r="M31" s="2" t="str">
        <f t="shared" si="4"/>
        <v/>
      </c>
      <c r="N31" s="2" t="s">
        <v>87</v>
      </c>
      <c r="P31" s="2" t="str">
        <f t="shared" si="2"/>
        <v/>
      </c>
      <c r="R31" s="2" t="s">
        <v>7</v>
      </c>
      <c r="S31" s="2">
        <v>201</v>
      </c>
    </row>
    <row r="32" spans="1:19">
      <c r="B32" s="2" t="str">
        <f t="shared" si="3"/>
        <v>SDJ02.BaggingCodeReaded</v>
      </c>
      <c r="C32" s="2" t="s">
        <v>13</v>
      </c>
      <c r="D32" s="2" t="s">
        <v>108</v>
      </c>
      <c r="E32" s="2" t="s">
        <v>19</v>
      </c>
      <c r="F32" s="2" t="s">
        <v>79</v>
      </c>
      <c r="H32" s="2" t="str">
        <f t="shared" si="1"/>
        <v>DB201.24</v>
      </c>
      <c r="I32" s="2" t="s">
        <v>83</v>
      </c>
      <c r="J32" s="2">
        <v>24</v>
      </c>
      <c r="L32" s="2" t="s">
        <v>27</v>
      </c>
      <c r="M32" s="2" t="str">
        <f t="shared" si="4"/>
        <v/>
      </c>
      <c r="N32" s="2" t="s">
        <v>87</v>
      </c>
      <c r="P32" s="2" t="str">
        <f t="shared" si="2"/>
        <v/>
      </c>
      <c r="R32" s="2" t="s">
        <v>7</v>
      </c>
      <c r="S32" s="2">
        <v>201</v>
      </c>
    </row>
    <row r="33" spans="2:19">
      <c r="B33" s="2" t="str">
        <f t="shared" si="3"/>
        <v>SDJ02.BagTakeCodeReaded</v>
      </c>
      <c r="C33" s="2" t="s">
        <v>13</v>
      </c>
      <c r="D33" s="2" t="s">
        <v>109</v>
      </c>
      <c r="E33" s="2" t="s">
        <v>19</v>
      </c>
      <c r="F33" s="2" t="s">
        <v>80</v>
      </c>
      <c r="H33" s="2" t="str">
        <f t="shared" si="1"/>
        <v>DB201.46</v>
      </c>
      <c r="I33" s="2" t="s">
        <v>83</v>
      </c>
      <c r="J33" s="2">
        <v>46</v>
      </c>
      <c r="L33" s="2" t="s">
        <v>27</v>
      </c>
      <c r="M33" s="2" t="str">
        <f t="shared" si="4"/>
        <v/>
      </c>
      <c r="N33" s="2" t="s">
        <v>87</v>
      </c>
      <c r="P33" s="2" t="str">
        <f t="shared" si="2"/>
        <v/>
      </c>
      <c r="R33" s="2" t="s">
        <v>7</v>
      </c>
      <c r="S33" s="2">
        <v>201</v>
      </c>
    </row>
    <row r="34" spans="2:19">
      <c r="B34" s="2" t="str">
        <f t="shared" si="3"/>
        <v>SS.HeartBreak</v>
      </c>
      <c r="C34" s="2" t="s">
        <v>91</v>
      </c>
      <c r="D34" s="2" t="s">
        <v>25</v>
      </c>
      <c r="F34" s="2" t="s">
        <v>124</v>
      </c>
      <c r="H34" s="2" t="str">
        <f t="shared" si="1"/>
        <v>DB200.0</v>
      </c>
      <c r="I34" s="2" t="s">
        <v>85</v>
      </c>
      <c r="J34" s="2">
        <v>0</v>
      </c>
      <c r="L34" s="2" t="s">
        <v>15</v>
      </c>
      <c r="M34" s="2" t="str">
        <f t="shared" si="4"/>
        <v/>
      </c>
      <c r="N34" s="2" t="s">
        <v>88</v>
      </c>
      <c r="P34" s="2" t="str">
        <f t="shared" si="2"/>
        <v/>
      </c>
      <c r="R34" s="2" t="s">
        <v>7</v>
      </c>
      <c r="S34" s="2">
        <v>200</v>
      </c>
    </row>
    <row r="35" spans="2:19">
      <c r="B35" s="2" t="str">
        <f t="shared" si="3"/>
        <v>CZJ01.ReadBagCodeEnabled</v>
      </c>
      <c r="C35" s="2" t="s">
        <v>92</v>
      </c>
      <c r="D35" s="2" t="s">
        <v>110</v>
      </c>
      <c r="F35" s="2" t="s">
        <v>45</v>
      </c>
      <c r="H35" s="2" t="str">
        <f t="shared" si="1"/>
        <v>DB200.2</v>
      </c>
      <c r="I35" s="2" t="s">
        <v>85</v>
      </c>
      <c r="J35" s="2">
        <v>2</v>
      </c>
      <c r="L35" s="2" t="s">
        <v>15</v>
      </c>
      <c r="M35" s="2" t="str">
        <f t="shared" si="4"/>
        <v/>
      </c>
      <c r="N35" s="2" t="s">
        <v>88</v>
      </c>
      <c r="P35" s="2" t="b">
        <f t="shared" si="2"/>
        <v>1</v>
      </c>
      <c r="R35" s="2" t="s">
        <v>7</v>
      </c>
      <c r="S35" s="2">
        <v>200</v>
      </c>
    </row>
    <row r="36" spans="2:19">
      <c r="B36" s="2" t="str">
        <f t="shared" si="3"/>
        <v>CZJ01.CurrentBagCode</v>
      </c>
      <c r="C36" s="2" t="s">
        <v>92</v>
      </c>
      <c r="D36" s="2" t="s">
        <v>111</v>
      </c>
      <c r="F36" s="2" t="s">
        <v>46</v>
      </c>
      <c r="H36" s="2" t="str">
        <f t="shared" si="1"/>
        <v>DB200.4</v>
      </c>
      <c r="I36" s="2" t="s">
        <v>86</v>
      </c>
      <c r="J36" s="2">
        <v>4</v>
      </c>
      <c r="L36" s="2" t="s">
        <v>15</v>
      </c>
      <c r="M36" s="2">
        <f t="shared" si="4"/>
        <v>64</v>
      </c>
      <c r="N36" s="2" t="s">
        <v>88</v>
      </c>
      <c r="P36" s="2" t="str">
        <f t="shared" si="2"/>
        <v/>
      </c>
      <c r="R36" s="2" t="s">
        <v>7</v>
      </c>
      <c r="S36" s="2">
        <v>200</v>
      </c>
    </row>
    <row r="37" spans="2:19">
      <c r="B37" s="2" t="str">
        <f t="shared" si="3"/>
        <v>CZJ01.BagWeight</v>
      </c>
      <c r="C37" s="2" t="s">
        <v>92</v>
      </c>
      <c r="D37" s="2" t="s">
        <v>112</v>
      </c>
      <c r="F37" s="2" t="s">
        <v>47</v>
      </c>
      <c r="H37" s="2" t="str">
        <f t="shared" si="1"/>
        <v>DB200.70</v>
      </c>
      <c r="I37" s="2" t="s">
        <v>84</v>
      </c>
      <c r="J37" s="2">
        <v>70</v>
      </c>
      <c r="L37" s="2" t="s">
        <v>15</v>
      </c>
      <c r="M37" s="2" t="str">
        <f t="shared" si="4"/>
        <v/>
      </c>
      <c r="N37" s="2" t="s">
        <v>88</v>
      </c>
      <c r="P37" s="2" t="str">
        <f t="shared" si="2"/>
        <v/>
      </c>
      <c r="R37" s="2" t="s">
        <v>7</v>
      </c>
      <c r="S37" s="2">
        <v>200</v>
      </c>
    </row>
    <row r="38" spans="2:19">
      <c r="B38" s="2" t="str">
        <f t="shared" si="3"/>
        <v>PMJ01.ReadBagCodeEnabled</v>
      </c>
      <c r="C38" s="2" t="s">
        <v>14</v>
      </c>
      <c r="D38" s="2" t="s">
        <v>110</v>
      </c>
      <c r="F38" s="2" t="s">
        <v>48</v>
      </c>
      <c r="H38" s="2" t="str">
        <f t="shared" si="1"/>
        <v>DB200.94</v>
      </c>
      <c r="I38" s="2" t="s">
        <v>85</v>
      </c>
      <c r="J38" s="2">
        <v>94</v>
      </c>
      <c r="L38" s="2" t="s">
        <v>15</v>
      </c>
      <c r="M38" s="2" t="str">
        <f t="shared" si="4"/>
        <v/>
      </c>
      <c r="N38" s="2" t="s">
        <v>88</v>
      </c>
      <c r="P38" s="2" t="b">
        <f t="shared" si="2"/>
        <v>1</v>
      </c>
      <c r="R38" s="2" t="s">
        <v>7</v>
      </c>
      <c r="S38" s="2">
        <v>200</v>
      </c>
    </row>
    <row r="39" spans="2:19">
      <c r="B39" s="2" t="str">
        <f t="shared" si="3"/>
        <v>PMJ01.CurrentBagCode</v>
      </c>
      <c r="C39" s="2" t="s">
        <v>14</v>
      </c>
      <c r="D39" s="2" t="s">
        <v>111</v>
      </c>
      <c r="F39" s="2" t="s">
        <v>49</v>
      </c>
      <c r="H39" s="2" t="str">
        <f t="shared" si="1"/>
        <v>DB200.96</v>
      </c>
      <c r="I39" s="2" t="s">
        <v>86</v>
      </c>
      <c r="J39" s="2">
        <v>96</v>
      </c>
      <c r="L39" s="2" t="s">
        <v>15</v>
      </c>
      <c r="M39" s="2">
        <f t="shared" si="4"/>
        <v>64</v>
      </c>
      <c r="N39" s="2" t="s">
        <v>88</v>
      </c>
      <c r="P39" s="2" t="str">
        <f t="shared" si="2"/>
        <v/>
      </c>
      <c r="R39" s="2" t="s">
        <v>7</v>
      </c>
      <c r="S39" s="2">
        <v>200</v>
      </c>
    </row>
    <row r="40" spans="2:19">
      <c r="B40" s="2" t="str">
        <f t="shared" si="3"/>
        <v>PMJ02.ReadBagCodeEnabled</v>
      </c>
      <c r="C40" s="2" t="s">
        <v>93</v>
      </c>
      <c r="D40" s="2" t="s">
        <v>110</v>
      </c>
      <c r="F40" s="2" t="s">
        <v>48</v>
      </c>
      <c r="H40" s="2" t="str">
        <f t="shared" si="1"/>
        <v>DB200.182</v>
      </c>
      <c r="I40" s="2" t="s">
        <v>85</v>
      </c>
      <c r="J40" s="2">
        <v>182</v>
      </c>
      <c r="L40" s="2" t="s">
        <v>15</v>
      </c>
      <c r="M40" s="2" t="str">
        <f t="shared" si="4"/>
        <v/>
      </c>
      <c r="N40" s="2" t="s">
        <v>88</v>
      </c>
      <c r="P40" s="2" t="b">
        <f t="shared" si="2"/>
        <v>1</v>
      </c>
      <c r="R40" s="2" t="s">
        <v>7</v>
      </c>
      <c r="S40" s="2">
        <v>200</v>
      </c>
    </row>
    <row r="41" spans="2:19">
      <c r="B41" s="2" t="str">
        <f t="shared" si="3"/>
        <v>PMJ02.CurrentBagCode</v>
      </c>
      <c r="C41" s="2" t="s">
        <v>93</v>
      </c>
      <c r="D41" s="2" t="s">
        <v>111</v>
      </c>
      <c r="F41" s="2" t="s">
        <v>49</v>
      </c>
      <c r="H41" s="2" t="str">
        <f t="shared" si="1"/>
        <v>DB200.184</v>
      </c>
      <c r="I41" s="2" t="s">
        <v>86</v>
      </c>
      <c r="J41" s="2">
        <v>184</v>
      </c>
      <c r="L41" s="2" t="s">
        <v>15</v>
      </c>
      <c r="M41" s="2">
        <f t="shared" si="4"/>
        <v>64</v>
      </c>
      <c r="N41" s="2" t="s">
        <v>88</v>
      </c>
      <c r="P41" s="2" t="str">
        <f t="shared" si="2"/>
        <v/>
      </c>
      <c r="R41" s="2" t="s">
        <v>7</v>
      </c>
      <c r="S41" s="2">
        <v>200</v>
      </c>
    </row>
    <row r="42" spans="2:19">
      <c r="B42" s="2" t="str">
        <f t="shared" si="3"/>
        <v>MDJ01.ReadBagCodeEnabled</v>
      </c>
      <c r="C42" s="2" t="s">
        <v>42</v>
      </c>
      <c r="D42" s="2" t="s">
        <v>110</v>
      </c>
      <c r="F42" s="2" t="s">
        <v>50</v>
      </c>
      <c r="H42" s="2" t="str">
        <f t="shared" si="1"/>
        <v>DB200.270</v>
      </c>
      <c r="I42" s="2" t="s">
        <v>85</v>
      </c>
      <c r="J42" s="2">
        <v>270</v>
      </c>
      <c r="L42" s="2" t="s">
        <v>15</v>
      </c>
      <c r="M42" s="2" t="str">
        <f t="shared" si="4"/>
        <v/>
      </c>
      <c r="N42" s="2" t="s">
        <v>88</v>
      </c>
      <c r="P42" s="2" t="b">
        <f t="shared" si="2"/>
        <v>1</v>
      </c>
      <c r="R42" s="2" t="s">
        <v>7</v>
      </c>
      <c r="S42" s="2">
        <v>200</v>
      </c>
    </row>
    <row r="43" spans="2:19">
      <c r="B43" s="2" t="str">
        <f t="shared" si="3"/>
        <v>MDJ01.CurrentBagCode</v>
      </c>
      <c r="C43" s="2" t="s">
        <v>42</v>
      </c>
      <c r="D43" s="2" t="s">
        <v>111</v>
      </c>
      <c r="F43" s="2" t="s">
        <v>51</v>
      </c>
      <c r="H43" s="2" t="str">
        <f t="shared" si="1"/>
        <v>DB200.272</v>
      </c>
      <c r="I43" s="2" t="s">
        <v>86</v>
      </c>
      <c r="J43" s="2">
        <v>272</v>
      </c>
      <c r="L43" s="2" t="s">
        <v>15</v>
      </c>
      <c r="M43" s="2">
        <f t="shared" si="4"/>
        <v>64</v>
      </c>
      <c r="N43" s="2" t="s">
        <v>88</v>
      </c>
      <c r="P43" s="2" t="str">
        <f t="shared" si="2"/>
        <v/>
      </c>
      <c r="R43" s="2" t="s">
        <v>7</v>
      </c>
      <c r="S43" s="2">
        <v>200</v>
      </c>
    </row>
    <row r="44" spans="2:19">
      <c r="B44" s="2" t="str">
        <f t="shared" si="3"/>
        <v>MDJ01.PalletBagCountA</v>
      </c>
      <c r="C44" s="2" t="s">
        <v>42</v>
      </c>
      <c r="D44" s="2" t="s">
        <v>113</v>
      </c>
      <c r="F44" s="2" t="s">
        <v>52</v>
      </c>
      <c r="H44" s="2" t="str">
        <f t="shared" si="1"/>
        <v>DB200.358</v>
      </c>
      <c r="I44" s="2" t="s">
        <v>83</v>
      </c>
      <c r="J44" s="2">
        <v>358</v>
      </c>
      <c r="L44" s="2" t="s">
        <v>15</v>
      </c>
      <c r="M44" s="2" t="str">
        <f t="shared" si="4"/>
        <v/>
      </c>
      <c r="N44" s="2" t="s">
        <v>88</v>
      </c>
      <c r="P44" s="2" t="str">
        <f t="shared" si="2"/>
        <v/>
      </c>
      <c r="R44" s="2" t="s">
        <v>7</v>
      </c>
      <c r="S44" s="2">
        <v>200</v>
      </c>
    </row>
    <row r="45" spans="2:19">
      <c r="B45" s="2" t="str">
        <f t="shared" si="3"/>
        <v>MDJ01.PalletBagCountB</v>
      </c>
      <c r="C45" s="2" t="s">
        <v>42</v>
      </c>
      <c r="D45" s="2" t="s">
        <v>114</v>
      </c>
      <c r="F45" s="2" t="s">
        <v>53</v>
      </c>
      <c r="H45" s="2" t="str">
        <f t="shared" si="1"/>
        <v>DB200.360</v>
      </c>
      <c r="I45" s="2" t="s">
        <v>83</v>
      </c>
      <c r="J45" s="2">
        <v>360</v>
      </c>
      <c r="L45" s="2" t="s">
        <v>15</v>
      </c>
      <c r="M45" s="2" t="str">
        <f t="shared" si="4"/>
        <v/>
      </c>
      <c r="N45" s="2" t="s">
        <v>88</v>
      </c>
      <c r="P45" s="2" t="str">
        <f t="shared" si="2"/>
        <v/>
      </c>
      <c r="R45" s="2" t="s">
        <v>7</v>
      </c>
      <c r="S45" s="2">
        <v>200</v>
      </c>
    </row>
    <row r="46" spans="2:19">
      <c r="B46" s="2" t="str">
        <f t="shared" si="3"/>
        <v>MDJ01.PalletOutApplyA</v>
      </c>
      <c r="C46" s="2" t="s">
        <v>42</v>
      </c>
      <c r="D46" s="2" t="s">
        <v>115</v>
      </c>
      <c r="F46" s="2" t="s">
        <v>54</v>
      </c>
      <c r="H46" s="2" t="str">
        <f t="shared" si="1"/>
        <v>DB200.362</v>
      </c>
      <c r="I46" s="2" t="s">
        <v>85</v>
      </c>
      <c r="J46" s="2">
        <v>362</v>
      </c>
      <c r="L46" s="2" t="s">
        <v>15</v>
      </c>
      <c r="M46" s="2" t="str">
        <f t="shared" si="4"/>
        <v/>
      </c>
      <c r="N46" s="2" t="s">
        <v>88</v>
      </c>
      <c r="P46" s="2" t="str">
        <f t="shared" si="2"/>
        <v/>
      </c>
      <c r="R46" s="2" t="s">
        <v>7</v>
      </c>
      <c r="S46" s="2">
        <v>200</v>
      </c>
    </row>
    <row r="47" spans="2:19">
      <c r="B47" s="2" t="str">
        <f t="shared" si="3"/>
        <v>MDJ01.PalletOutApplyB</v>
      </c>
      <c r="C47" s="2" t="s">
        <v>42</v>
      </c>
      <c r="D47" s="2" t="s">
        <v>116</v>
      </c>
      <c r="F47" s="2" t="s">
        <v>55</v>
      </c>
      <c r="H47" s="2" t="str">
        <f t="shared" si="1"/>
        <v>DB200.364</v>
      </c>
      <c r="I47" s="2" t="s">
        <v>85</v>
      </c>
      <c r="J47" s="2">
        <v>364</v>
      </c>
      <c r="L47" s="2" t="s">
        <v>15</v>
      </c>
      <c r="M47" s="2" t="str">
        <f t="shared" si="4"/>
        <v/>
      </c>
      <c r="N47" s="2" t="s">
        <v>88</v>
      </c>
      <c r="P47" s="2" t="str">
        <f t="shared" si="2"/>
        <v/>
      </c>
      <c r="R47" s="2" t="s">
        <v>7</v>
      </c>
      <c r="S47" s="2">
        <v>200</v>
      </c>
    </row>
    <row r="48" spans="2:19">
      <c r="B48" s="2" t="str">
        <f t="shared" si="3"/>
        <v>TBJ01.ReadBagCodeEnabled</v>
      </c>
      <c r="C48" s="2" t="s">
        <v>94</v>
      </c>
      <c r="D48" s="2" t="s">
        <v>110</v>
      </c>
      <c r="F48" s="2" t="s">
        <v>56</v>
      </c>
      <c r="H48" s="2" t="str">
        <f t="shared" si="1"/>
        <v>DB200.386</v>
      </c>
      <c r="I48" s="2" t="s">
        <v>85</v>
      </c>
      <c r="J48" s="2">
        <v>386</v>
      </c>
      <c r="L48" s="2" t="s">
        <v>15</v>
      </c>
      <c r="M48" s="2" t="str">
        <f t="shared" si="4"/>
        <v/>
      </c>
      <c r="N48" s="2" t="s">
        <v>88</v>
      </c>
      <c r="P48" s="2" t="b">
        <f t="shared" si="2"/>
        <v>1</v>
      </c>
      <c r="R48" s="2" t="s">
        <v>7</v>
      </c>
      <c r="S48" s="2">
        <v>200</v>
      </c>
    </row>
    <row r="49" spans="2:19">
      <c r="B49" s="2" t="str">
        <f t="shared" si="3"/>
        <v>TBJ01.CurrentBagCode</v>
      </c>
      <c r="C49" s="2" t="s">
        <v>94</v>
      </c>
      <c r="D49" s="2" t="s">
        <v>111</v>
      </c>
      <c r="F49" s="2" t="s">
        <v>57</v>
      </c>
      <c r="H49" s="2" t="str">
        <f t="shared" si="1"/>
        <v>DB200.388</v>
      </c>
      <c r="I49" s="2" t="s">
        <v>86</v>
      </c>
      <c r="J49" s="2">
        <v>388</v>
      </c>
      <c r="L49" s="2" t="s">
        <v>15</v>
      </c>
      <c r="M49" s="2">
        <f t="shared" si="4"/>
        <v>64</v>
      </c>
      <c r="N49" s="2" t="s">
        <v>88</v>
      </c>
      <c r="P49" s="2" t="str">
        <f t="shared" si="2"/>
        <v/>
      </c>
      <c r="R49" s="2" t="s">
        <v>7</v>
      </c>
      <c r="S49" s="2">
        <v>200</v>
      </c>
    </row>
    <row r="50" spans="2:19">
      <c r="B50" s="2" t="str">
        <f t="shared" si="3"/>
        <v>TBJ01.LabelPrinted</v>
      </c>
      <c r="C50" s="2" t="s">
        <v>94</v>
      </c>
      <c r="D50" s="2" t="s">
        <v>117</v>
      </c>
      <c r="F50" s="2" t="s">
        <v>58</v>
      </c>
      <c r="H50" s="2" t="str">
        <f t="shared" si="1"/>
        <v>DB200.454</v>
      </c>
      <c r="I50" s="2" t="s">
        <v>85</v>
      </c>
      <c r="J50" s="2">
        <v>454</v>
      </c>
      <c r="L50" s="2" t="s">
        <v>15</v>
      </c>
      <c r="M50" s="2" t="str">
        <f t="shared" si="4"/>
        <v/>
      </c>
      <c r="N50" s="2" t="s">
        <v>88</v>
      </c>
      <c r="P50" s="2" t="str">
        <f t="shared" si="2"/>
        <v/>
      </c>
      <c r="R50" s="2" t="s">
        <v>7</v>
      </c>
      <c r="S50" s="2">
        <v>200</v>
      </c>
    </row>
    <row r="51" spans="2:19">
      <c r="B51" s="2" t="str">
        <f t="shared" si="3"/>
        <v>SS.HeartBreakWrite</v>
      </c>
      <c r="C51" s="2" t="s">
        <v>91</v>
      </c>
      <c r="D51" s="2" t="s">
        <v>106</v>
      </c>
      <c r="F51" s="2" t="s">
        <v>124</v>
      </c>
      <c r="H51" s="2" t="str">
        <f t="shared" si="1"/>
        <v>DB201.0</v>
      </c>
      <c r="I51" s="2" t="s">
        <v>85</v>
      </c>
      <c r="J51" s="2">
        <v>0</v>
      </c>
      <c r="L51" s="2" t="s">
        <v>27</v>
      </c>
      <c r="M51" s="2" t="str">
        <f t="shared" si="4"/>
        <v/>
      </c>
      <c r="N51" s="2" t="s">
        <v>88</v>
      </c>
      <c r="P51" s="2" t="str">
        <f t="shared" si="2"/>
        <v/>
      </c>
      <c r="R51" s="2" t="s">
        <v>7</v>
      </c>
      <c r="S51" s="2">
        <v>201</v>
      </c>
    </row>
    <row r="52" spans="2:19">
      <c r="B52" s="2" t="str">
        <f t="shared" si="3"/>
        <v>CZJ01.BagCodeReaded</v>
      </c>
      <c r="C52" s="2" t="s">
        <v>92</v>
      </c>
      <c r="D52" s="2" t="s">
        <v>118</v>
      </c>
      <c r="F52" s="2" t="s">
        <v>59</v>
      </c>
      <c r="H52" s="2" t="str">
        <f t="shared" si="1"/>
        <v>DB201.2</v>
      </c>
      <c r="I52" s="2" t="s">
        <v>83</v>
      </c>
      <c r="J52" s="2">
        <v>2</v>
      </c>
      <c r="L52" s="2" t="s">
        <v>27</v>
      </c>
      <c r="M52" s="2" t="str">
        <f t="shared" si="4"/>
        <v/>
      </c>
      <c r="N52" s="2" t="s">
        <v>88</v>
      </c>
      <c r="P52" s="2" t="str">
        <f t="shared" si="2"/>
        <v/>
      </c>
      <c r="R52" s="2" t="s">
        <v>7</v>
      </c>
      <c r="S52" s="2">
        <v>201</v>
      </c>
    </row>
    <row r="53" spans="2:19">
      <c r="B53" s="2" t="str">
        <f t="shared" si="3"/>
        <v>CZJ01.IsPass</v>
      </c>
      <c r="C53" s="2" t="s">
        <v>92</v>
      </c>
      <c r="D53" s="2" t="s">
        <v>119</v>
      </c>
      <c r="F53" s="2" t="s">
        <v>60</v>
      </c>
      <c r="H53" s="2" t="str">
        <f t="shared" si="1"/>
        <v>DB201.4</v>
      </c>
      <c r="I53" s="2" t="s">
        <v>83</v>
      </c>
      <c r="J53" s="2">
        <v>4</v>
      </c>
      <c r="L53" s="2" t="s">
        <v>27</v>
      </c>
      <c r="M53" s="2" t="str">
        <f t="shared" si="4"/>
        <v/>
      </c>
      <c r="N53" s="2" t="s">
        <v>88</v>
      </c>
      <c r="P53" s="2" t="str">
        <f t="shared" si="2"/>
        <v/>
      </c>
      <c r="R53" s="2" t="s">
        <v>7</v>
      </c>
      <c r="S53" s="2">
        <v>201</v>
      </c>
    </row>
    <row r="54" spans="2:19">
      <c r="B54" s="2" t="str">
        <f t="shared" si="3"/>
        <v>CZJ01.PalletPosition</v>
      </c>
      <c r="C54" s="2" t="s">
        <v>92</v>
      </c>
      <c r="D54" s="2" t="s">
        <v>120</v>
      </c>
      <c r="F54" s="2" t="s">
        <v>61</v>
      </c>
      <c r="H54" s="2" t="str">
        <f t="shared" si="1"/>
        <v>DB201.6</v>
      </c>
      <c r="I54" s="2" t="s">
        <v>83</v>
      </c>
      <c r="J54" s="2">
        <v>6</v>
      </c>
      <c r="L54" s="2" t="s">
        <v>27</v>
      </c>
      <c r="M54" s="2" t="str">
        <f t="shared" si="4"/>
        <v/>
      </c>
      <c r="N54" s="2" t="s">
        <v>88</v>
      </c>
      <c r="P54" s="2" t="str">
        <f t="shared" si="2"/>
        <v/>
      </c>
      <c r="R54" s="2" t="s">
        <v>7</v>
      </c>
      <c r="S54" s="2">
        <v>201</v>
      </c>
    </row>
    <row r="55" spans="2:19">
      <c r="B55" s="2" t="str">
        <f t="shared" si="3"/>
        <v>PMJ01.BagCodeReaded</v>
      </c>
      <c r="C55" s="2" t="s">
        <v>14</v>
      </c>
      <c r="D55" s="2" t="s">
        <v>118</v>
      </c>
      <c r="F55" s="2" t="s">
        <v>62</v>
      </c>
      <c r="H55" s="2" t="str">
        <f t="shared" si="1"/>
        <v>DB201.28</v>
      </c>
      <c r="I55" s="2" t="s">
        <v>83</v>
      </c>
      <c r="J55" s="2">
        <v>28</v>
      </c>
      <c r="L55" s="2" t="s">
        <v>27</v>
      </c>
      <c r="M55" s="2" t="str">
        <f t="shared" si="4"/>
        <v/>
      </c>
      <c r="N55" s="2" t="s">
        <v>88</v>
      </c>
      <c r="P55" s="2" t="str">
        <f t="shared" si="2"/>
        <v/>
      </c>
      <c r="R55" s="2" t="s">
        <v>7</v>
      </c>
      <c r="S55" s="2">
        <v>201</v>
      </c>
    </row>
    <row r="56" spans="2:19">
      <c r="B56" s="2" t="str">
        <f t="shared" si="3"/>
        <v>PMJ01.IsPass</v>
      </c>
      <c r="C56" s="2" t="s">
        <v>14</v>
      </c>
      <c r="D56" s="3" t="s">
        <v>119</v>
      </c>
      <c r="F56" s="3" t="s">
        <v>63</v>
      </c>
      <c r="H56" s="2" t="str">
        <f t="shared" si="1"/>
        <v>DB201.20</v>
      </c>
      <c r="I56" s="3" t="s">
        <v>83</v>
      </c>
      <c r="J56" s="3">
        <v>20</v>
      </c>
      <c r="L56" s="2" t="s">
        <v>27</v>
      </c>
      <c r="M56" s="2" t="str">
        <f t="shared" si="4"/>
        <v/>
      </c>
      <c r="N56" s="3" t="s">
        <v>89</v>
      </c>
      <c r="P56" s="2" t="str">
        <f t="shared" si="2"/>
        <v/>
      </c>
      <c r="R56" s="2" t="s">
        <v>7</v>
      </c>
      <c r="S56" s="3">
        <v>201</v>
      </c>
    </row>
    <row r="57" spans="2:19">
      <c r="B57" s="2" t="str">
        <f t="shared" si="3"/>
        <v>PMJ01.PalletPosition</v>
      </c>
      <c r="C57" s="2" t="s">
        <v>14</v>
      </c>
      <c r="D57" s="2" t="s">
        <v>120</v>
      </c>
      <c r="F57" s="2" t="s">
        <v>61</v>
      </c>
      <c r="H57" s="2" t="str">
        <f t="shared" si="1"/>
        <v>DB201.32</v>
      </c>
      <c r="I57" s="2" t="s">
        <v>83</v>
      </c>
      <c r="J57" s="2">
        <v>32</v>
      </c>
      <c r="L57" s="2" t="s">
        <v>27</v>
      </c>
      <c r="M57" s="2" t="str">
        <f t="shared" si="4"/>
        <v/>
      </c>
      <c r="N57" s="2" t="s">
        <v>88</v>
      </c>
      <c r="P57" s="2" t="str">
        <f t="shared" si="2"/>
        <v/>
      </c>
      <c r="R57" s="2" t="s">
        <v>7</v>
      </c>
      <c r="S57" s="2">
        <v>201</v>
      </c>
    </row>
    <row r="58" spans="2:19">
      <c r="B58" s="2" t="str">
        <f t="shared" si="3"/>
        <v>PMJ02.BagCodeReaded</v>
      </c>
      <c r="C58" s="2" t="s">
        <v>93</v>
      </c>
      <c r="D58" s="2" t="s">
        <v>118</v>
      </c>
      <c r="F58" s="2" t="s">
        <v>62</v>
      </c>
      <c r="H58" s="2" t="str">
        <f t="shared" si="1"/>
        <v>DB201.34</v>
      </c>
      <c r="I58" s="2" t="s">
        <v>83</v>
      </c>
      <c r="J58" s="2">
        <v>34</v>
      </c>
      <c r="L58" s="2" t="s">
        <v>27</v>
      </c>
      <c r="M58" s="2" t="str">
        <f t="shared" si="4"/>
        <v/>
      </c>
      <c r="N58" s="2" t="s">
        <v>88</v>
      </c>
      <c r="P58" s="2" t="str">
        <f t="shared" si="2"/>
        <v/>
      </c>
      <c r="R58" s="2" t="s">
        <v>7</v>
      </c>
      <c r="S58" s="2">
        <v>201</v>
      </c>
    </row>
    <row r="59" spans="2:19">
      <c r="B59" s="2" t="str">
        <f t="shared" si="3"/>
        <v>MDJ01.BagCodeReaded</v>
      </c>
      <c r="C59" s="2" t="s">
        <v>42</v>
      </c>
      <c r="D59" s="2" t="s">
        <v>118</v>
      </c>
      <c r="F59" s="2" t="s">
        <v>64</v>
      </c>
      <c r="H59" s="2" t="str">
        <f t="shared" si="1"/>
        <v>DB201.54</v>
      </c>
      <c r="I59" s="2" t="s">
        <v>83</v>
      </c>
      <c r="J59" s="2">
        <v>54</v>
      </c>
      <c r="L59" s="2" t="s">
        <v>27</v>
      </c>
      <c r="M59" s="2" t="str">
        <f t="shared" si="4"/>
        <v/>
      </c>
      <c r="N59" s="2" t="s">
        <v>88</v>
      </c>
      <c r="P59" s="2" t="str">
        <f t="shared" si="2"/>
        <v/>
      </c>
      <c r="R59" s="2" t="s">
        <v>7</v>
      </c>
      <c r="S59" s="2">
        <v>201</v>
      </c>
    </row>
    <row r="60" spans="2:19">
      <c r="B60" s="2" t="str">
        <f t="shared" si="3"/>
        <v>MDJ01.PalletPosition</v>
      </c>
      <c r="C60" s="2" t="s">
        <v>42</v>
      </c>
      <c r="D60" s="2" t="s">
        <v>120</v>
      </c>
      <c r="F60" s="2" t="s">
        <v>65</v>
      </c>
      <c r="H60" s="2" t="str">
        <f t="shared" si="1"/>
        <v>DB201.56</v>
      </c>
      <c r="I60" s="2" t="s">
        <v>83</v>
      </c>
      <c r="J60" s="2">
        <v>56</v>
      </c>
      <c r="L60" s="2" t="s">
        <v>27</v>
      </c>
      <c r="M60" s="2" t="str">
        <f t="shared" si="4"/>
        <v/>
      </c>
      <c r="N60" s="2" t="s">
        <v>88</v>
      </c>
      <c r="P60" s="2" t="str">
        <f t="shared" si="2"/>
        <v/>
      </c>
      <c r="R60" s="2" t="s">
        <v>7</v>
      </c>
      <c r="S60" s="2">
        <v>201</v>
      </c>
    </row>
    <row r="61" spans="2:19">
      <c r="B61" s="2" t="str">
        <f t="shared" si="3"/>
        <v>MDJ01.PalletOutAllowedA</v>
      </c>
      <c r="C61" s="2" t="s">
        <v>42</v>
      </c>
      <c r="D61" s="2" t="s">
        <v>121</v>
      </c>
      <c r="F61" s="2" t="s">
        <v>66</v>
      </c>
      <c r="H61" s="2" t="str">
        <f t="shared" si="1"/>
        <v>DB201.78</v>
      </c>
      <c r="I61" s="2" t="s">
        <v>83</v>
      </c>
      <c r="J61" s="2">
        <v>78</v>
      </c>
      <c r="L61" s="2" t="s">
        <v>27</v>
      </c>
      <c r="M61" s="2" t="str">
        <f t="shared" si="4"/>
        <v/>
      </c>
      <c r="N61" s="2" t="s">
        <v>88</v>
      </c>
      <c r="P61" s="2" t="str">
        <f t="shared" si="2"/>
        <v/>
      </c>
      <c r="R61" s="2" t="s">
        <v>7</v>
      </c>
      <c r="S61" s="2">
        <v>201</v>
      </c>
    </row>
    <row r="62" spans="2:19">
      <c r="B62" s="2" t="str">
        <f t="shared" si="3"/>
        <v>MDJ01.PalletOutAllowedB</v>
      </c>
      <c r="C62" s="2" t="s">
        <v>42</v>
      </c>
      <c r="D62" s="2" t="s">
        <v>122</v>
      </c>
      <c r="F62" s="2" t="s">
        <v>67</v>
      </c>
      <c r="H62" s="2" t="str">
        <f t="shared" si="1"/>
        <v>DB201.80</v>
      </c>
      <c r="I62" s="2" t="s">
        <v>83</v>
      </c>
      <c r="J62" s="2">
        <v>80</v>
      </c>
      <c r="L62" s="2" t="s">
        <v>27</v>
      </c>
      <c r="M62" s="2" t="str">
        <f t="shared" si="4"/>
        <v/>
      </c>
      <c r="N62" s="2" t="s">
        <v>88</v>
      </c>
      <c r="P62" s="2" t="str">
        <f t="shared" si="2"/>
        <v/>
      </c>
      <c r="R62" s="2" t="s">
        <v>7</v>
      </c>
      <c r="S62" s="2">
        <v>201</v>
      </c>
    </row>
    <row r="63" spans="2:19">
      <c r="B63" s="2" t="str">
        <f t="shared" si="3"/>
        <v>TBJ01.BagCodeReaded</v>
      </c>
      <c r="C63" s="2" t="s">
        <v>94</v>
      </c>
      <c r="D63" s="2" t="s">
        <v>118</v>
      </c>
      <c r="F63" s="2" t="s">
        <v>68</v>
      </c>
      <c r="H63" s="2" t="str">
        <f t="shared" si="1"/>
        <v>DB201.102</v>
      </c>
      <c r="I63" s="2" t="s">
        <v>83</v>
      </c>
      <c r="J63" s="2">
        <v>102</v>
      </c>
      <c r="L63" s="2" t="s">
        <v>27</v>
      </c>
      <c r="M63" s="2" t="str">
        <f t="shared" si="4"/>
        <v/>
      </c>
      <c r="N63" s="2" t="s">
        <v>88</v>
      </c>
      <c r="P63" s="2" t="str">
        <f t="shared" si="2"/>
        <v/>
      </c>
      <c r="R63" s="2" t="s">
        <v>7</v>
      </c>
      <c r="S63" s="2">
        <v>201</v>
      </c>
    </row>
    <row r="64" spans="2:19">
      <c r="B64" s="2" t="str">
        <f t="shared" si="3"/>
        <v>TBJ01.PalletOutAllowed</v>
      </c>
      <c r="C64" s="2" t="s">
        <v>94</v>
      </c>
      <c r="D64" s="2" t="s">
        <v>123</v>
      </c>
      <c r="F64" s="2" t="s">
        <v>69</v>
      </c>
      <c r="H64" s="2" t="str">
        <f t="shared" si="1"/>
        <v>DB201.104</v>
      </c>
      <c r="I64" s="2" t="s">
        <v>83</v>
      </c>
      <c r="J64" s="2">
        <v>104</v>
      </c>
      <c r="L64" s="2" t="s">
        <v>27</v>
      </c>
      <c r="M64" s="2" t="str">
        <f t="shared" si="4"/>
        <v/>
      </c>
      <c r="N64" s="2" t="s">
        <v>88</v>
      </c>
      <c r="P64" s="2" t="str">
        <f>IF( ISNUMBER(SEARCH("允许读码", F64)),TRUE,"")</f>
        <v/>
      </c>
      <c r="R64" s="2" t="s">
        <v>7</v>
      </c>
      <c r="S64" s="2">
        <v>201</v>
      </c>
    </row>
  </sheetData>
  <phoneticPr fontId="18" type="noConversion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tags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Shi</cp:lastModifiedBy>
  <dcterms:created xsi:type="dcterms:W3CDTF">2025-04-17T08:18:55Z</dcterms:created>
  <dcterms:modified xsi:type="dcterms:W3CDTF">2025-12-12T07:34:08Z</dcterms:modified>
</cp:coreProperties>
</file>